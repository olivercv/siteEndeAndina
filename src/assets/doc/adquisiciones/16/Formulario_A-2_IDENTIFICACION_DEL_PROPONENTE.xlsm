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ULIO~1.MOR\AppData\Local\Temp\Rar$DIa12740.6948\"/>
    </mc:Choice>
  </mc:AlternateContent>
  <bookViews>
    <workbookView xWindow="0" yWindow="0" windowWidth="20496" windowHeight="7752" firstSheet="1" activeTab="1"/>
  </bookViews>
  <sheets>
    <sheet name="Invitación" sheetId="4" state="hidden" r:id="rId1"/>
    <sheet name="Anexo I" sheetId="2" r:id="rId2"/>
    <sheet name="C.C." sheetId="6" state="hidden" r:id="rId3"/>
    <sheet name="O.C." sheetId="7" state="hidden" r:id="rId4"/>
    <sheet name="PAGO" sheetId="8" state="hidden" r:id="rId5"/>
  </sheets>
  <functionGroups builtInGroupCount="18"/>
  <definedNames>
    <definedName name="_xlnm.Print_Area" localSheetId="2">C.C.!$A$1:$AP$47</definedName>
    <definedName name="_xlnm.Print_Area" localSheetId="0">Invitación!$A$1:$I$33</definedName>
    <definedName name="_xlnm.Print_Area" localSheetId="3">O.C.!$A$1:$H$32</definedName>
    <definedName name="_xlnm.Print_Titles" localSheetId="2">C.C.!$1:$5</definedName>
    <definedName name="_xlnm.Print_Titles" localSheetId="3">O.C.!$1:$5</definedName>
  </definedNames>
  <calcPr calcId="152511"/>
</workbook>
</file>

<file path=xl/calcChain.xml><?xml version="1.0" encoding="utf-8"?>
<calcChain xmlns="http://schemas.openxmlformats.org/spreadsheetml/2006/main">
  <c r="L11" i="6" l="1"/>
  <c r="L12" i="6"/>
  <c r="K11" i="6"/>
  <c r="K12" i="6"/>
  <c r="A11" i="6"/>
  <c r="A12" i="6"/>
  <c r="B11" i="6"/>
  <c r="B12" i="6"/>
  <c r="K10" i="6" l="1"/>
  <c r="I22" i="6" l="1"/>
  <c r="I21" i="6"/>
  <c r="I20" i="6"/>
  <c r="I18" i="6"/>
  <c r="I19" i="6"/>
  <c r="A10" i="6" l="1"/>
  <c r="E14" i="7"/>
  <c r="E15" i="7"/>
  <c r="E16" i="7"/>
  <c r="E17" i="7"/>
  <c r="E18" i="7"/>
  <c r="E19" i="7"/>
  <c r="E20" i="7"/>
  <c r="E21" i="7"/>
  <c r="E22" i="7"/>
  <c r="E23" i="7"/>
  <c r="E24" i="7"/>
  <c r="B14" i="7"/>
  <c r="C14" i="7"/>
  <c r="B15" i="7"/>
  <c r="C15" i="7"/>
  <c r="B16" i="7"/>
  <c r="C16" i="7"/>
  <c r="B17" i="7"/>
  <c r="C17" i="7"/>
  <c r="B18" i="7"/>
  <c r="C18" i="7"/>
  <c r="B19" i="7"/>
  <c r="C19" i="7"/>
  <c r="B20" i="7"/>
  <c r="C20" i="7"/>
  <c r="B21" i="7"/>
  <c r="C21" i="7"/>
  <c r="B22" i="7"/>
  <c r="C22" i="7"/>
  <c r="B23" i="7"/>
  <c r="C23" i="7"/>
  <c r="C24" i="7"/>
  <c r="A14" i="7"/>
  <c r="A15" i="7"/>
  <c r="A16" i="7"/>
  <c r="A17" i="7"/>
  <c r="A18" i="7"/>
  <c r="A19" i="7"/>
  <c r="A20" i="7"/>
  <c r="A21" i="7"/>
  <c r="A22" i="7"/>
  <c r="A23" i="7"/>
  <c r="A24" i="7"/>
  <c r="A13" i="7" l="1"/>
  <c r="B13" i="7"/>
  <c r="C13" i="7"/>
  <c r="E13" i="7"/>
  <c r="L10" i="6"/>
  <c r="B10" i="6"/>
  <c r="H14" i="7" l="1"/>
  <c r="H24" i="7"/>
  <c r="H23" i="7"/>
  <c r="H22" i="7"/>
  <c r="H21" i="7"/>
  <c r="H20" i="7"/>
  <c r="H19" i="7"/>
  <c r="H18" i="7"/>
  <c r="H17" i="7"/>
  <c r="H16" i="7"/>
  <c r="H15" i="7"/>
  <c r="H13" i="7"/>
  <c r="H25" i="7" l="1"/>
  <c r="B26" i="7"/>
  <c r="AH31" i="6" l="1"/>
  <c r="Y31" i="6"/>
  <c r="P31" i="6"/>
  <c r="E5" i="6" l="1"/>
  <c r="P13" i="6"/>
  <c r="P14" i="6" s="1"/>
  <c r="Y14" i="6" s="1"/>
  <c r="AH14" i="6" s="1"/>
  <c r="B27" i="6"/>
  <c r="A27" i="6"/>
  <c r="B26" i="6"/>
  <c r="A26" i="6"/>
  <c r="B25" i="6"/>
  <c r="A25" i="6"/>
  <c r="AK10" i="6" l="1"/>
  <c r="S11" i="6"/>
  <c r="AB12" i="6"/>
  <c r="S10" i="6"/>
  <c r="AB10" i="6"/>
  <c r="AB11" i="6"/>
  <c r="Y13" i="6"/>
  <c r="AH13" i="6" s="1"/>
  <c r="AK11" i="6"/>
  <c r="AK12" i="6"/>
  <c r="S12" i="6"/>
  <c r="R13" i="6" l="1"/>
  <c r="AA13" i="6"/>
  <c r="AJ13" i="6"/>
</calcChain>
</file>

<file path=xl/sharedStrings.xml><?xml version="1.0" encoding="utf-8"?>
<sst xmlns="http://schemas.openxmlformats.org/spreadsheetml/2006/main" count="210" uniqueCount="177">
  <si>
    <t>GARANTÍAS:</t>
  </si>
  <si>
    <t>FORMA DE PAGO:</t>
  </si>
  <si>
    <t>TIEMPO DE ENTREGA:</t>
  </si>
  <si>
    <t>DATOS GENERALES DEL PROPONENTE</t>
  </si>
  <si>
    <t>INFORMACIÓN DEL REPRESENTANTE LEGAL</t>
  </si>
  <si>
    <t>Correo electrónico:</t>
  </si>
  <si>
    <t>A nombre de</t>
  </si>
  <si>
    <t>1.</t>
  </si>
  <si>
    <t>2.</t>
  </si>
  <si>
    <t xml:space="preserve">a la cual represento, remito la presente propuesta, </t>
  </si>
  <si>
    <t>declarando expresamente mi conformidad y compromiso de cumplimiento, conforme con los siguientes puntos:</t>
  </si>
  <si>
    <t>Proponente</t>
  </si>
  <si>
    <t>Firma:</t>
  </si>
  <si>
    <t>Nombre:</t>
  </si>
  <si>
    <t>Sello:</t>
  </si>
  <si>
    <t>a)</t>
  </si>
  <si>
    <t>b)</t>
  </si>
  <si>
    <t>c)</t>
  </si>
  <si>
    <t>d)</t>
  </si>
  <si>
    <t>e)</t>
  </si>
  <si>
    <t>f)</t>
  </si>
  <si>
    <t>g)</t>
  </si>
  <si>
    <t>h)</t>
  </si>
  <si>
    <t>i)</t>
  </si>
  <si>
    <t>j)</t>
  </si>
  <si>
    <t>INVITACIÓN:</t>
  </si>
  <si>
    <t>DESCRIPCIÓN</t>
  </si>
  <si>
    <t>CANT.</t>
  </si>
  <si>
    <t>CONDICIONES COMERCIALES REQUERIDAS</t>
  </si>
  <si>
    <t>PROPUESTA</t>
  </si>
  <si>
    <t>VALIDEZ DE LA OFERTA:</t>
  </si>
  <si>
    <t>PLAZO LÍMITE PARA LA PRESENTACIÓN DE OFERTAS:</t>
  </si>
  <si>
    <t>ENDE ANDINA S.A.M.</t>
  </si>
  <si>
    <t>Sin otro particular, reciban ustedes un cordial saludo.
Atentamente,</t>
  </si>
  <si>
    <t>Código:</t>
  </si>
  <si>
    <t>Versión:</t>
  </si>
  <si>
    <t>Aprobación:</t>
  </si>
  <si>
    <t>Adj.: Anexo I y Anexo II
cc. Archivo</t>
  </si>
  <si>
    <t>1)</t>
  </si>
  <si>
    <t>2)</t>
  </si>
  <si>
    <t xml:space="preserve">CONTENIDO DE LA PROPUESTA: </t>
  </si>
  <si>
    <t>FORMULARIO</t>
  </si>
  <si>
    <t>Nombre de contacto:</t>
  </si>
  <si>
    <t>Teléfono(s) fijo(s):</t>
  </si>
  <si>
    <t>Dirección principal:</t>
  </si>
  <si>
    <t>3.</t>
  </si>
  <si>
    <t>DATOS PARA NOTIFICACIONES</t>
  </si>
  <si>
    <t>Teléfono Fax:</t>
  </si>
  <si>
    <t xml:space="preserve">(registrar nombre o razón social del proponente) </t>
  </si>
  <si>
    <t>Nombre o razón social:</t>
  </si>
  <si>
    <t>Nombre del Representante Legal:</t>
  </si>
  <si>
    <t>UNID. DE MEDIDA</t>
  </si>
  <si>
    <t>INVITACIÓN DE COTIZACIÓN</t>
  </si>
  <si>
    <t>N° Cédula de identidad del Representante Legal:</t>
  </si>
  <si>
    <t>N° Poder del Representante Legal (vigente):</t>
  </si>
  <si>
    <r>
      <t xml:space="preserve">Declaro y garantizo haber examinado las </t>
    </r>
    <r>
      <rPr>
        <i/>
        <sz val="8"/>
        <rFont val="Arial"/>
        <family val="2"/>
      </rPr>
      <t>Especificaciones Técnicas</t>
    </r>
    <r>
      <rPr>
        <sz val="8"/>
        <rFont val="Arial"/>
        <family val="2"/>
      </rPr>
      <t xml:space="preserve">, </t>
    </r>
    <r>
      <rPr>
        <i/>
        <sz val="8"/>
        <rFont val="Arial"/>
        <family val="2"/>
      </rPr>
      <t>Términos de Referencia</t>
    </r>
    <r>
      <rPr>
        <sz val="8"/>
        <rFont val="Arial"/>
        <family val="2"/>
      </rPr>
      <t xml:space="preserve"> y/o el </t>
    </r>
    <r>
      <rPr>
        <i/>
        <sz val="8"/>
        <rFont val="Arial"/>
        <family val="2"/>
      </rPr>
      <t>Pliego de Condiciones</t>
    </r>
    <r>
      <rPr>
        <sz val="8"/>
        <rFont val="Arial"/>
        <family val="2"/>
      </rPr>
      <t xml:space="preserve"> y sus modificaciones, si existieran, así como los Formularios para la presentación de la propuesta, aceptando sin reservas todas las estipulaciones en dichos documentos y la adhesión al texto del documento contractual.</t>
    </r>
  </si>
  <si>
    <t>Declaro que el poder del Representante Legal se encuentra inscrito y vigente en el Registro de Comercio.</t>
  </si>
  <si>
    <t>Acepto a sola firma de este documento que todos los Formularios presentados se tienen por suscritos.</t>
  </si>
  <si>
    <t>N°</t>
  </si>
  <si>
    <t>Estimado Proveedor,</t>
  </si>
  <si>
    <r>
      <rPr>
        <u/>
        <sz val="9.5"/>
        <rFont val="Arial"/>
        <family val="2"/>
      </rPr>
      <t>ANEXO I - Formulario de Identificación del Proponente</t>
    </r>
    <r>
      <rPr>
        <sz val="9.5"/>
        <rFont val="Arial"/>
        <family val="2"/>
      </rPr>
      <t xml:space="preserve"> debidamente llenado y firmado.</t>
    </r>
  </si>
  <si>
    <r>
      <rPr>
        <b/>
        <sz val="9.5"/>
        <rFont val="Arial"/>
        <family val="2"/>
      </rPr>
      <t>Nota 1.</t>
    </r>
    <r>
      <rPr>
        <sz val="9.5"/>
        <rFont val="Arial"/>
        <family val="2"/>
      </rPr>
      <t xml:space="preserve"> Las propuestas que no incluyan los documentos señalados en el formato solicitado, serán puestas a consideración para el proceso de evaluación, siempre y cuando cumplan el contenido mínimo solicitado.</t>
    </r>
  </si>
  <si>
    <r>
      <t>MOTIVO DE DESCALIFICACIÓN:</t>
    </r>
    <r>
      <rPr>
        <sz val="9.5"/>
        <color rgb="FF002060"/>
        <rFont val="Arial"/>
        <family val="2"/>
      </rPr>
      <t xml:space="preserve"> Incumplimiento de lo requerido en la presente invitación.</t>
    </r>
  </si>
  <si>
    <t xml:space="preserve">ENDE ANDINA S.A.M., invita a las empresas legalmente establecidas a presentar sus propuestas para la adquisición / contratación de: </t>
  </si>
  <si>
    <t>GAF-08-04</t>
  </si>
  <si>
    <t>02</t>
  </si>
  <si>
    <r>
      <rPr>
        <u/>
        <sz val="9.5"/>
        <rFont val="Arial"/>
        <family val="2"/>
      </rPr>
      <t>ANEXO II - Oferta Económica</t>
    </r>
    <r>
      <rPr>
        <sz val="9.5"/>
        <rFont val="Arial"/>
        <family val="2"/>
      </rPr>
      <t xml:space="preserve"> debidamente llenada y firmada.
- Para </t>
    </r>
    <r>
      <rPr>
        <b/>
        <sz val="9.5"/>
        <rFont val="Arial"/>
        <family val="2"/>
      </rPr>
      <t>Bienes</t>
    </r>
    <r>
      <rPr>
        <sz val="9.5"/>
        <rFont val="Arial"/>
        <family val="2"/>
      </rPr>
      <t xml:space="preserve"> deberá ser acompañado por </t>
    </r>
    <r>
      <rPr>
        <i/>
        <sz val="9.5"/>
        <rFont val="Arial"/>
        <family val="2"/>
      </rPr>
      <t>Hoja de Especificaciones</t>
    </r>
    <r>
      <rPr>
        <sz val="9.5"/>
        <rFont val="Arial"/>
        <family val="2"/>
      </rPr>
      <t xml:space="preserve"> del fabricante por cada ítem ofertado, que detalle características y otros elementos visuales (Ej. Catálogo, fotografías, planos y otros que aplique), acorde a lo establecido en las </t>
    </r>
    <r>
      <rPr>
        <i/>
        <sz val="9.5"/>
        <rFont val="Arial"/>
        <family val="2"/>
      </rPr>
      <t>Especificaciones Técnicas</t>
    </r>
    <r>
      <rPr>
        <sz val="9.5"/>
        <rFont val="Arial"/>
        <family val="2"/>
      </rPr>
      <t xml:space="preserve">.
- Para </t>
    </r>
    <r>
      <rPr>
        <b/>
        <sz val="9.5"/>
        <rFont val="Arial"/>
        <family val="2"/>
      </rPr>
      <t>Servicios</t>
    </r>
    <r>
      <rPr>
        <sz val="9.5"/>
        <rFont val="Arial"/>
        <family val="2"/>
      </rPr>
      <t xml:space="preserve">, deberá ser acompañado por el </t>
    </r>
    <r>
      <rPr>
        <i/>
        <sz val="9.5"/>
        <rFont val="Arial"/>
        <family val="2"/>
      </rPr>
      <t>Plan y Detalle de Trabajo</t>
    </r>
    <r>
      <rPr>
        <sz val="9.5"/>
        <rFont val="Arial"/>
        <family val="2"/>
      </rPr>
      <t xml:space="preserve"> respectivo (según corresponda de acuerdo a los </t>
    </r>
    <r>
      <rPr>
        <i/>
        <sz val="9.5"/>
        <rFont val="Arial"/>
        <family val="2"/>
      </rPr>
      <t>Términos de Referencia</t>
    </r>
    <r>
      <rPr>
        <sz val="9.5"/>
        <rFont val="Arial"/>
        <family val="2"/>
      </rPr>
      <t>).</t>
    </r>
  </si>
  <si>
    <r>
      <t xml:space="preserve">En el caso de Bienes, la recepción y verificación de materiales a ser entregados por el Proveedor adjudicado se hará según </t>
    </r>
    <r>
      <rPr>
        <i/>
        <u/>
        <sz val="9.5"/>
        <rFont val="Arial"/>
        <family val="2"/>
      </rPr>
      <t>NB/ISO 2859:1</t>
    </r>
    <r>
      <rPr>
        <i/>
        <sz val="9.5"/>
        <rFont val="Arial"/>
        <family val="2"/>
      </rPr>
      <t xml:space="preserve"> Procedimientos de muestreo para inspección por atributos</t>
    </r>
    <r>
      <rPr>
        <sz val="9.5"/>
        <rFont val="Arial"/>
        <family val="2"/>
      </rPr>
      <t xml:space="preserve"> y </t>
    </r>
    <r>
      <rPr>
        <i/>
        <u/>
        <sz val="9.5"/>
        <rFont val="Arial"/>
        <family val="2"/>
      </rPr>
      <t>NB/ISO 3951:1</t>
    </r>
    <r>
      <rPr>
        <i/>
        <sz val="9.5"/>
        <rFont val="Arial"/>
        <family val="2"/>
      </rPr>
      <t xml:space="preserve"> Procedimientos de muestreo para inspección por variables</t>
    </r>
    <r>
      <rPr>
        <sz val="9.5"/>
        <rFont val="Arial"/>
        <family val="2"/>
      </rPr>
      <t>.</t>
    </r>
  </si>
  <si>
    <r>
      <t xml:space="preserve">Declaro en calidad de Representante Legal contar con un poder general amplio y suficiente con facultades para presentar propuestas y suscribir </t>
    </r>
    <r>
      <rPr>
        <i/>
        <sz val="8"/>
        <rFont val="Arial"/>
        <family val="2"/>
      </rPr>
      <t>Contratos y Órdenes de Compra</t>
    </r>
    <r>
      <rPr>
        <sz val="8"/>
        <rFont val="Arial"/>
        <family val="2"/>
      </rPr>
      <t>.</t>
    </r>
  </si>
  <si>
    <t>Declaro respetar el desempeño de los dependientes de ENDE ANDINA S.A.M. al proceso de contratación y no incurrir en relacionamiento que no sea a través de medio escrito y por el canal establecido, salvo en los actos de carácter público y exceptuando las consultas efectuadas al correo electrónico establecido o por escrito vía nota formal a la Empresa dentro los pazos habilitados para el efecto, de manera previa a la presentación de propuestas.</t>
  </si>
  <si>
    <t>Matricula de comercio (vigente) o su equivalente:</t>
  </si>
  <si>
    <t>Nº de identificación tributaria (NIT) o equivalente:</t>
  </si>
  <si>
    <t>Declaro la veracidad de toda la información proporcionada y autorizo mediante la presente, para que en caso de ser adjudicado, cualquier persona natural o jurídica, suministre a los representantes autorizados de ENDE ANDINA S.A.M., toda la información que requieran para verificar la documentación que presento. En caso de comprobarse falsedad en la misma, ENDE ANDINA S.A.M. tiene el derecho a descalificar la presente propuesta, sin perjuicio de lo dispuesto en normativa específica.</t>
  </si>
  <si>
    <t>Me comprometo a denunciar por escrito, ante la Gerencia General de ENDE ANDINA S.A.M., cualquier tipo de presión o intento de extorsión de parte de los dependientes de ENDE ANDINA S.A.M. o de otras personas, para que se asuman las acciones legales y administrativas que correspondan.</t>
  </si>
  <si>
    <r>
      <t xml:space="preserve">Declaro no haber resuelto Contrato en los últimos tres (3) años o haber desistido de suscribir uno en el último año, así como no estar asociado a ningún consultor que haya asesorado o elaborado el </t>
    </r>
    <r>
      <rPr>
        <i/>
        <sz val="8"/>
        <rFont val="Arial"/>
        <family val="2"/>
      </rPr>
      <t>Pliego de Condiciones</t>
    </r>
    <r>
      <rPr>
        <sz val="8"/>
        <rFont val="Arial"/>
        <family val="2"/>
      </rPr>
      <t>.</t>
    </r>
  </si>
  <si>
    <t>Declaro no tener sentencia ejecutoriada que me impida ejercer el comercio, o que existan causales de incompatibilidad con los miembros de la Comisión de Calificación o miembros del Directorio, ni conflicto de intereses o estar en quiebra, o tener una empresa disuelta para participar del presente proceso de contratación.</t>
  </si>
  <si>
    <t>Declaro que no existe vinculación por afinidad o consanguineadad con funcionarios de ENDE ANDINA S.A.M. según lo establece la Ley 603.</t>
  </si>
  <si>
    <t>CUADRO COMPARATIVO</t>
  </si>
  <si>
    <t>01</t>
  </si>
  <si>
    <t xml:space="preserve">PRECIOS EXPRESADO EN </t>
  </si>
  <si>
    <t>BS</t>
  </si>
  <si>
    <t>P1</t>
  </si>
  <si>
    <t>P2</t>
  </si>
  <si>
    <t>P3</t>
  </si>
  <si>
    <t>ITEM</t>
  </si>
  <si>
    <t>INCOTERM</t>
  </si>
  <si>
    <t>PREVISIÓN DE PRECIO</t>
  </si>
  <si>
    <t>PRECIO UNIT.</t>
  </si>
  <si>
    <t>PRECIO TOTAL</t>
  </si>
  <si>
    <t>PRECIO FINAL EN ALMACENES</t>
  </si>
  <si>
    <t>MARCA/MODELO/TIPO/PROCEDENCIA:</t>
  </si>
  <si>
    <t>A OFERTAR</t>
  </si>
  <si>
    <t>POSICIÓN Y CONDICIÓN DE ENTREGA:</t>
  </si>
  <si>
    <t>CONDICIONES TÉCNICAS REQUERIDAS   CUMPLE   SI / NO</t>
  </si>
  <si>
    <t>NO</t>
  </si>
  <si>
    <t>N° DE OFERTA DEL PROPONENTE::</t>
  </si>
  <si>
    <t>FECHA DE LA OFERTA:</t>
  </si>
  <si>
    <t>FECHA VENCIMIENTO DE OFERTAS:</t>
  </si>
  <si>
    <t>OBSERVACIONES:</t>
  </si>
  <si>
    <t>ELABORADO POR</t>
  </si>
  <si>
    <t>REVISIÓN Y VºBº TÉCNICO</t>
  </si>
  <si>
    <t>AUTORIZADO POR</t>
  </si>
  <si>
    <t>REVISIÓN Y VºBº ADM.</t>
  </si>
  <si>
    <t>FIRMA</t>
  </si>
  <si>
    <t>NOMBRE</t>
  </si>
  <si>
    <t>CARGO</t>
  </si>
  <si>
    <t>ADQUISICIONES</t>
  </si>
  <si>
    <t>FECHA</t>
  </si>
  <si>
    <t>TOTAL PRECIO OFERTADO</t>
  </si>
  <si>
    <t>TOTAL 
ADJUDICADO</t>
  </si>
  <si>
    <t>LIC. MARIO VIVEROS</t>
  </si>
  <si>
    <t>OFICINAS ENDE ANDINA TIQUIPAYA</t>
  </si>
  <si>
    <t>HASTA 30 DÍAS POSTERIOR A LA EMISIÓN DE CONFORMIDAD DE ENTREGA DEL BIEN</t>
  </si>
  <si>
    <t>ALMACEN CENTRAL EA - WARNES, SANTA CRUZ</t>
  </si>
  <si>
    <t>PLANTA TERMOELECTRICA DEL SUR (YACUIBA)</t>
  </si>
  <si>
    <t>PLANTA TERMOELECTRICA DE ENTRE RIOS</t>
  </si>
  <si>
    <t xml:space="preserve">Fecha: </t>
  </si>
  <si>
    <t>PROVEEDOR:</t>
  </si>
  <si>
    <t>CONTACTO:</t>
  </si>
  <si>
    <t>REFERENCIA:</t>
  </si>
  <si>
    <t>UNIDAD</t>
  </si>
  <si>
    <t>OBS.</t>
  </si>
  <si>
    <t xml:space="preserve">DESCRIPCIÓN </t>
  </si>
  <si>
    <t>C/U Bs.</t>
  </si>
  <si>
    <t>TOTAL Bs.</t>
  </si>
  <si>
    <t>Total Bs.</t>
  </si>
  <si>
    <t>Son:</t>
  </si>
  <si>
    <t>Lugar de Entrega:</t>
  </si>
  <si>
    <t>Fecha de Entrega Solicitada:</t>
  </si>
  <si>
    <t>Forma de Pago:</t>
  </si>
  <si>
    <t>FORM-ADM-002</t>
  </si>
  <si>
    <t>ORDEN DE COMPRA</t>
  </si>
  <si>
    <t>ORDEN DE SERVICIO</t>
  </si>
  <si>
    <t>Firma Aprobación G.G.:</t>
  </si>
  <si>
    <t>MEMORÁNDUM</t>
  </si>
  <si>
    <t>A:</t>
  </si>
  <si>
    <t>VIA:</t>
  </si>
  <si>
    <t>DE:</t>
  </si>
  <si>
    <r>
      <t xml:space="preserve">LIC. CATALINA ALVARADO M.– </t>
    </r>
    <r>
      <rPr>
        <b/>
        <sz val="10"/>
        <rFont val="Arial"/>
        <family val="2"/>
      </rPr>
      <t>GERENTE ADMINISTRATIVA FINANCIERA</t>
    </r>
  </si>
  <si>
    <r>
      <t xml:space="preserve">LIC. MARIO VIVEROS M. –  </t>
    </r>
    <r>
      <rPr>
        <b/>
        <sz val="10"/>
        <rFont val="Arial"/>
        <family val="2"/>
      </rPr>
      <t>JEFE DE ADQUISICIONES</t>
    </r>
  </si>
  <si>
    <r>
      <t xml:space="preserve">LIC. MARCELO TERAN V. –  </t>
    </r>
    <r>
      <rPr>
        <b/>
        <sz val="10"/>
        <rFont val="Arial"/>
        <family val="2"/>
      </rPr>
      <t>ADQUISICIONES</t>
    </r>
  </si>
  <si>
    <t>ASUNTO:</t>
  </si>
  <si>
    <t>SOLICITUD DE PAGO A CASA AQUA GARDEN LTDA. –  INSUMOS DE PISCINA PARA LA PLANTA TERMOELECTRICA DE WARNES</t>
  </si>
  <si>
    <t>ANTECEDENTES</t>
  </si>
  <si>
    <t>1. </t>
  </si>
  <si>
    <t>En fecha 02 de febrero de 2018, se emitió la Solicitud de Adquisición de Bienes Nº PTWAR-18-02-0004 donde se solicita la adquisición de insumos de piscina para la Planta Termoeléctrica Warnes.</t>
  </si>
  <si>
    <r>
      <rPr>
        <b/>
        <sz val="7"/>
        <rFont val="Times New Roman"/>
        <family val="1"/>
      </rPr>
      <t xml:space="preserve"> </t>
    </r>
    <r>
      <rPr>
        <b/>
        <sz val="10"/>
        <rFont val="Arial"/>
        <family val="2"/>
      </rPr>
      <t>ANALISIS</t>
    </r>
  </si>
  <si>
    <t>Se elaboró el Cuadro Comparativo Nº PTWAR-18-02-000-FAR en base a las cotizaciones recibidas y se preparó la Orden de Compra Nº 18-03-077 en la cual se adjudica parcialmente a la Empresa CASA AQUA GARDEN LTDA.  4 ítems de los 4 solicitados, debido a que es el proveedor que ofrece la mejor calidad y cumple con las especificaciones solicitadas, según tabla a continuación y documentos adjuntos.</t>
  </si>
  <si>
    <t>Asimismo, se adjudicó parcialmente 10 ítems a The link Comercializadores y los 27 ítems restantes a Comercial Gilda por cumplir con las expectativas de adquisición.</t>
  </si>
  <si>
    <t>CASA AQUA GARDEN LTDA.</t>
  </si>
  <si>
    <t>EMPRESA</t>
  </si>
  <si>
    <t>ITEMS COTIZADOS</t>
  </si>
  <si>
    <t>ITEMS PRESENTADOS</t>
  </si>
  <si>
    <t>Ítems con mejor calidad y cumple especificaciones</t>
  </si>
  <si>
    <t>TOTAL ADJUDICADO 
[Bs]</t>
  </si>
  <si>
    <t>CONCLUSION</t>
  </si>
  <si>
    <t xml:space="preserve">3. </t>
  </si>
  <si>
    <t>El material solicitado fue entregado de manera satisfactoria según Memorándum Nº EA-2908/2018   emitido por la Responsable de Almacenes PTWAR, dando conformidad de recepción, por lo expuesto, corresponde se proceda con el pago a la cuenta Nº 131010779 del BANCO GANADERO S.A. – Moneda Nacional a nombre de CASA AQUA GARDEN LTDA. con NIT 1026465021, por el monto de Bs 6.525,00 (Seis mil quinientos veinticinco 00/100 Bolivianos).</t>
  </si>
  <si>
    <t>PENALIDAD POR RETRASO EN ENTREGA:</t>
  </si>
  <si>
    <r>
      <rPr>
        <b/>
        <u/>
        <sz val="9.5"/>
        <rFont val="Arial"/>
        <family val="2"/>
      </rPr>
      <t>Aclaraciones para la presentación de ofertas</t>
    </r>
    <r>
      <rPr>
        <b/>
        <sz val="9.5"/>
        <rFont val="Arial"/>
        <family val="2"/>
      </rPr>
      <t>:</t>
    </r>
    <r>
      <rPr>
        <sz val="9.5"/>
        <rFont val="Arial"/>
        <family val="2"/>
      </rPr>
      <t xml:space="preserve"> Se recibirán aclaraciones, hasta 48 horas antes del plazo límite de presentación de ofertas, al correo electrónico: </t>
    </r>
    <r>
      <rPr>
        <sz val="9.5"/>
        <color rgb="FF0070C0"/>
        <rFont val="Arial"/>
        <family val="2"/>
      </rPr>
      <t>invitacion@endeandina.bo</t>
    </r>
    <r>
      <rPr>
        <sz val="9.5"/>
        <rFont val="Arial"/>
        <family val="2"/>
      </rPr>
      <t xml:space="preserve"> las que serán atendidas por el mismo medio.</t>
    </r>
  </si>
  <si>
    <t>ING. OSCAR SUAREZ</t>
  </si>
  <si>
    <t>JEFE ADQUISICIONES a.i.</t>
  </si>
  <si>
    <r>
      <rPr>
        <b/>
        <u/>
        <sz val="10"/>
        <rFont val="Arial"/>
        <family val="2"/>
      </rPr>
      <t xml:space="preserve">"CONCLUSIONES, INFORME DE EVALUACION Y ANÁLISIS DEL CUADRO COMPARATIVO
</t>
    </r>
    <r>
      <rPr>
        <sz val="10"/>
        <rFont val="Arial"/>
        <family val="2"/>
      </rPr>
      <t>En función a los resultados detallados en el cuadro precedente y la revisión técnica, se concluye que</t>
    </r>
    <r>
      <rPr>
        <b/>
        <sz val="10"/>
        <rFont val="Arial"/>
        <family val="2"/>
      </rPr>
      <t xml:space="preserve"> el ítem: 1 del Proponente P1; el ítem: 1 del Proponente P2 y el ítem: 1 del Proponente P3, CUMPLEN con los requerimientos técnicos</t>
    </r>
    <r>
      <rPr>
        <sz val="10"/>
        <rFont val="Arial"/>
        <family val="2"/>
      </rPr>
      <t xml:space="preserve"> requeridos por la Unidad Solicitante de ENDE ANDINA S.A.M.
En ese sentido, se procedió con la evaluación administrativa/económica concluyendo en que la cotización económica más baja (redactar conveniente cuando la propuesta sea la mayor respecto a otras ofertas menores que no cumplan técnicamente)  es la presentada </t>
    </r>
    <r>
      <rPr>
        <b/>
        <sz val="10"/>
        <rFont val="Arial"/>
        <family val="2"/>
      </rPr>
      <t>por el Proponente P3 para el ítem: 1</t>
    </r>
    <r>
      <rPr>
        <sz val="10"/>
        <rFont val="Arial"/>
        <family val="2"/>
      </rPr>
      <t xml:space="preserve">. De acuerdo a la evaluación de presentación de documentación del proponente, la propuesta se encuentra vigente para la recomendación de adjudicación. En el marco de los resultados obtenidos, </t>
    </r>
    <r>
      <rPr>
        <b/>
        <sz val="10"/>
        <rFont val="Arial"/>
        <family val="2"/>
      </rPr>
      <t xml:space="preserve">se recomienda la suscripción de la Resolución de Adjudicación con el proveedor P3: ENDE TECNOLOGIAS S.A. por un monto de Bs. 39.804,37 (TREINTA Y NUEVE MIL OCHOCIENTOS CUATRO 37/100 Bolivianos)." </t>
    </r>
  </si>
  <si>
    <t>VoBo:</t>
  </si>
  <si>
    <t>Garantía:</t>
  </si>
  <si>
    <r>
      <rPr>
        <b/>
        <sz val="11"/>
        <rFont val="Calibri"/>
        <family val="2"/>
        <scheme val="minor"/>
      </rPr>
      <t>MULTA POR RETRASO SEGÚN TIEMPO DEMORA (EN BASE AL MONTO TOTAL ADJUDICADO)</t>
    </r>
    <r>
      <rPr>
        <sz val="11"/>
        <rFont val="Calibri"/>
        <family val="2"/>
        <scheme val="minor"/>
      </rPr>
      <t xml:space="preserve">
</t>
    </r>
    <r>
      <rPr>
        <b/>
        <sz val="11"/>
        <rFont val="Calibri"/>
        <family val="2"/>
        <scheme val="minor"/>
      </rPr>
      <t xml:space="preserve">SEMANA 1: </t>
    </r>
    <r>
      <rPr>
        <sz val="11"/>
        <rFont val="Calibri"/>
        <family val="2"/>
        <scheme val="minor"/>
      </rPr>
      <t xml:space="preserve">CARTA DE JUSTIFICACIÓN; </t>
    </r>
    <r>
      <rPr>
        <b/>
        <sz val="11"/>
        <rFont val="Calibri"/>
        <family val="2"/>
        <scheme val="minor"/>
      </rPr>
      <t>SEM. 2:</t>
    </r>
    <r>
      <rPr>
        <sz val="11"/>
        <rFont val="Calibri"/>
        <family val="2"/>
        <scheme val="minor"/>
      </rPr>
      <t xml:space="preserve"> 0,5%;  </t>
    </r>
    <r>
      <rPr>
        <b/>
        <sz val="11"/>
        <rFont val="Calibri"/>
        <family val="2"/>
        <scheme val="minor"/>
      </rPr>
      <t>SEM. 3:</t>
    </r>
    <r>
      <rPr>
        <sz val="11"/>
        <rFont val="Calibri"/>
        <family val="2"/>
        <scheme val="minor"/>
      </rPr>
      <t xml:space="preserve"> 2%;  </t>
    </r>
    <r>
      <rPr>
        <b/>
        <sz val="11"/>
        <rFont val="Calibri"/>
        <family val="2"/>
        <scheme val="minor"/>
      </rPr>
      <t>SEM. 4:</t>
    </r>
    <r>
      <rPr>
        <sz val="11"/>
        <rFont val="Calibri"/>
        <family val="2"/>
        <scheme val="minor"/>
      </rPr>
      <t xml:space="preserve"> 3%;  </t>
    </r>
    <r>
      <rPr>
        <b/>
        <sz val="11"/>
        <rFont val="Calibri"/>
        <family val="2"/>
        <scheme val="minor"/>
      </rPr>
      <t>SEM. 5</t>
    </r>
    <r>
      <rPr>
        <sz val="11"/>
        <rFont val="Calibri"/>
        <family val="2"/>
        <scheme val="minor"/>
      </rPr>
      <t xml:space="preserve">: 4%;  </t>
    </r>
    <r>
      <rPr>
        <b/>
        <sz val="11"/>
        <rFont val="Calibri"/>
        <family val="2"/>
        <scheme val="minor"/>
      </rPr>
      <t>SEM. 6:</t>
    </r>
    <r>
      <rPr>
        <sz val="11"/>
        <rFont val="Calibri"/>
        <family val="2"/>
        <scheme val="minor"/>
      </rPr>
      <t xml:space="preserve"> 6%;  </t>
    </r>
    <r>
      <rPr>
        <b/>
        <sz val="11"/>
        <rFont val="Calibri"/>
        <family val="2"/>
        <scheme val="minor"/>
      </rPr>
      <t>SEM. 7:</t>
    </r>
    <r>
      <rPr>
        <sz val="11"/>
        <rFont val="Calibri"/>
        <family val="2"/>
        <scheme val="minor"/>
      </rPr>
      <t xml:space="preserve"> 8%;  </t>
    </r>
    <r>
      <rPr>
        <b/>
        <sz val="11"/>
        <rFont val="Calibri"/>
        <family val="2"/>
        <scheme val="minor"/>
      </rPr>
      <t xml:space="preserve">SEM. 8: </t>
    </r>
    <r>
      <rPr>
        <sz val="11"/>
        <rFont val="Calibri"/>
        <family val="2"/>
        <scheme val="minor"/>
      </rPr>
      <t>10%</t>
    </r>
  </si>
  <si>
    <t>DÍAS CALENDARIO</t>
  </si>
  <si>
    <t>TELÉFONO/DIRECCIÓN:</t>
  </si>
  <si>
    <t>COTIZACIÓN PROVEEDOR:</t>
  </si>
  <si>
    <t>75 DIAS</t>
  </si>
  <si>
    <t>1 AÑO DE GARANTIA</t>
  </si>
  <si>
    <t>L014-EA</t>
  </si>
  <si>
    <r>
      <t xml:space="preserve">Las ofertas se recibirán en formato digital vía correo electrónico: </t>
    </r>
    <r>
      <rPr>
        <sz val="9.5"/>
        <color rgb="FF0070C0"/>
        <rFont val="Arial"/>
        <family val="2"/>
      </rPr>
      <t>invitacion@endeandina.bo</t>
    </r>
    <r>
      <rPr>
        <sz val="9.5"/>
        <rFont val="Arial"/>
        <family val="2"/>
      </rPr>
      <t xml:space="preserve">  En caso de que se considere enviar la propuesta en formato físico, podrá realizarlo a la dirección señalada en pie de página.</t>
    </r>
  </si>
  <si>
    <r>
      <t xml:space="preserve">Puede confirmar la recepción de la presente invitación al correo electrónico señalado: </t>
    </r>
    <r>
      <rPr>
        <sz val="9.5"/>
        <color rgb="FF0070C0"/>
        <rFont val="Arial"/>
        <family val="2"/>
      </rPr>
      <t>invitacion@endeandina.bo</t>
    </r>
    <r>
      <rPr>
        <sz val="9.5"/>
        <rFont val="Arial"/>
        <family val="2"/>
      </rPr>
      <t>.  Asimismo, si usted no está en condiciones de presentar su propuesta, le agradecemos enviar una notificación escrita de excusa para consideraciones futuras de ENDE ANDINA S.A.M.</t>
    </r>
  </si>
  <si>
    <r>
      <t xml:space="preserve">En caso de ser adjudicado deberá comunicar los datos bancarios para el pago respectivo (Nombre, banco, número de cuenta y moneda) con nota suscrita por el Representante Legal de su empresa en formato digital, al correo electrónico </t>
    </r>
    <r>
      <rPr>
        <sz val="9.5"/>
        <color rgb="FF0070C0"/>
        <rFont val="Arial"/>
        <family val="2"/>
      </rPr>
      <t>invitacion@endeandina.bo</t>
    </r>
    <r>
      <rPr>
        <sz val="9.5"/>
        <rFont val="Arial"/>
        <family val="2"/>
      </rPr>
      <t xml:space="preserve"> adjuntando para el efecto: el carnet de identidad del representante legal, </t>
    </r>
    <r>
      <rPr>
        <i/>
        <sz val="9.5"/>
        <rFont val="Arial"/>
        <family val="2"/>
      </rPr>
      <t>NIT</t>
    </r>
    <r>
      <rPr>
        <sz val="9.5"/>
        <rFont val="Arial"/>
        <family val="2"/>
      </rPr>
      <t xml:space="preserve"> y </t>
    </r>
    <r>
      <rPr>
        <i/>
        <sz val="9.5"/>
        <rFont val="Arial"/>
        <family val="2"/>
      </rPr>
      <t>Registro de Comercio</t>
    </r>
    <r>
      <rPr>
        <sz val="9.5"/>
        <rFont val="Arial"/>
        <family val="2"/>
      </rPr>
      <t>.</t>
    </r>
  </si>
  <si>
    <t>20-07-0004</t>
  </si>
  <si>
    <t>A-2: IDENTIFICACIÓN DEL PROPONENTE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</si>
</sst>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dd/mm/yyyy;@"/>
  </numFmts>
  <fonts count="52" x14ac:knownFonts="1">
    <font>
      <sz val="10"/>
      <name val="Arial"/>
    </font>
    <font>
      <sz val="8"/>
      <name val="Arial Narrow"/>
      <family val="2"/>
    </font>
    <font>
      <b/>
      <sz val="9"/>
      <name val="Arial Narrow"/>
      <family val="2"/>
    </font>
    <font>
      <b/>
      <sz val="8"/>
      <name val="Arial Narrow"/>
      <family val="2"/>
    </font>
    <font>
      <sz val="10"/>
      <name val="Arial"/>
      <family val="2"/>
    </font>
    <font>
      <b/>
      <sz val="10"/>
      <name val="Arial"/>
      <family val="2"/>
    </font>
    <font>
      <sz val="8"/>
      <name val="Arial"/>
      <family val="2"/>
    </font>
    <font>
      <sz val="9"/>
      <name val="Arial"/>
      <family val="2"/>
    </font>
    <font>
      <b/>
      <sz val="9"/>
      <name val="Arial"/>
      <family val="2"/>
    </font>
    <font>
      <b/>
      <u/>
      <sz val="9"/>
      <name val="Arial"/>
      <family val="2"/>
    </font>
    <font>
      <b/>
      <sz val="8"/>
      <name val="Arial"/>
      <family val="2"/>
    </font>
    <font>
      <i/>
      <sz val="8"/>
      <name val="Arial"/>
      <family val="2"/>
    </font>
    <font>
      <sz val="9.5"/>
      <name val="Arial"/>
      <family val="2"/>
    </font>
    <font>
      <b/>
      <sz val="9.5"/>
      <name val="Arial"/>
      <family val="2"/>
    </font>
    <font>
      <u/>
      <sz val="9.5"/>
      <name val="Arial"/>
      <family val="2"/>
    </font>
    <font>
      <i/>
      <sz val="9.5"/>
      <name val="Arial"/>
      <family val="2"/>
    </font>
    <font>
      <b/>
      <u/>
      <sz val="9.5"/>
      <name val="Arial"/>
      <family val="2"/>
    </font>
    <font>
      <sz val="9.5"/>
      <color rgb="FF0070C0"/>
      <name val="Arial"/>
      <family val="2"/>
    </font>
    <font>
      <b/>
      <sz val="9.5"/>
      <color rgb="FF002060"/>
      <name val="Arial"/>
      <family val="2"/>
    </font>
    <font>
      <sz val="9.5"/>
      <color rgb="FF002060"/>
      <name val="Arial"/>
      <family val="2"/>
    </font>
    <font>
      <i/>
      <u/>
      <sz val="9.5"/>
      <name val="Arial"/>
      <family val="2"/>
    </font>
    <font>
      <b/>
      <sz val="9"/>
      <color rgb="FF0070C0"/>
      <name val="Arial"/>
      <family val="2"/>
    </font>
    <font>
      <b/>
      <u/>
      <sz val="10"/>
      <name val="Arial"/>
      <family val="2"/>
    </font>
    <font>
      <b/>
      <u/>
      <sz val="9"/>
      <color rgb="FFC00000"/>
      <name val="Arial"/>
      <family val="2"/>
    </font>
    <font>
      <sz val="10"/>
      <name val="Arial Narrow"/>
      <family val="2"/>
    </font>
    <font>
      <sz val="8"/>
      <color theme="0"/>
      <name val="Arial Narrow"/>
      <family val="2"/>
    </font>
    <font>
      <b/>
      <sz val="10"/>
      <name val="Arial Narrow"/>
      <family val="2"/>
    </font>
    <font>
      <sz val="10"/>
      <color theme="0" tint="-0.249977111117893"/>
      <name val="Arial Narrow"/>
      <family val="2"/>
    </font>
    <font>
      <sz val="10"/>
      <name val="Arial"/>
      <family val="2"/>
    </font>
    <font>
      <b/>
      <sz val="11"/>
      <color rgb="FF3F3F3F"/>
      <name val="Calibri"/>
      <family val="2"/>
      <scheme val="minor"/>
    </font>
    <font>
      <b/>
      <sz val="16"/>
      <name val="Arial Black"/>
      <family val="2"/>
    </font>
    <font>
      <b/>
      <i/>
      <sz val="12"/>
      <name val="Arial Black"/>
      <family val="2"/>
    </font>
    <font>
      <b/>
      <u/>
      <sz val="16"/>
      <name val="Arial Black"/>
      <family val="2"/>
    </font>
    <font>
      <sz val="14"/>
      <name val="Arial Black"/>
      <family val="2"/>
    </font>
    <font>
      <sz val="5"/>
      <name val="Arial"/>
      <family val="2"/>
    </font>
    <font>
      <sz val="10"/>
      <name val="Arial Black"/>
      <family val="2"/>
    </font>
    <font>
      <b/>
      <i/>
      <sz val="14"/>
      <name val="Arial"/>
      <family val="2"/>
    </font>
    <font>
      <b/>
      <sz val="12"/>
      <name val="Arial"/>
      <family val="2"/>
    </font>
    <font>
      <u/>
      <sz val="10"/>
      <color theme="10"/>
      <name val="Arial"/>
      <family val="2"/>
    </font>
    <font>
      <sz val="12"/>
      <color rgb="FF3F3F3F"/>
      <name val="Arial"/>
      <family val="2"/>
    </font>
    <font>
      <sz val="12"/>
      <name val="Arial"/>
      <family val="2"/>
    </font>
    <font>
      <b/>
      <sz val="11"/>
      <name val="Arial"/>
      <family val="2"/>
    </font>
    <font>
      <sz val="12"/>
      <name val="Calibri"/>
      <family val="2"/>
      <scheme val="minor"/>
    </font>
    <font>
      <sz val="11.5"/>
      <name val="Calibri"/>
      <family val="2"/>
      <scheme val="minor"/>
    </font>
    <font>
      <sz val="11"/>
      <name val="Arial"/>
      <family val="2"/>
    </font>
    <font>
      <sz val="13"/>
      <name val="Calibri"/>
      <family val="2"/>
      <scheme val="minor"/>
    </font>
    <font>
      <sz val="10"/>
      <color theme="0" tint="-0.14999847407452621"/>
      <name val="Arial"/>
      <family val="2"/>
    </font>
    <font>
      <sz val="22"/>
      <name val="Arial Black"/>
      <family val="2"/>
    </font>
    <font>
      <b/>
      <sz val="7"/>
      <name val="Times New Roman"/>
      <family val="1"/>
    </font>
    <font>
      <sz val="11"/>
      <name val="Calibri"/>
      <family val="2"/>
      <scheme val="minor"/>
    </font>
    <font>
      <b/>
      <sz val="11"/>
      <name val="Calibri"/>
      <family val="2"/>
      <scheme val="minor"/>
    </font>
    <font>
      <sz val="9"/>
      <name val="Arial Narrow"/>
      <family val="2"/>
    </font>
  </fonts>
  <fills count="10">
    <fill>
      <patternFill patternType="none"/>
    </fill>
    <fill>
      <patternFill patternType="gray125"/>
    </fill>
    <fill>
      <patternFill patternType="solid">
        <fgColor theme="0" tint="-0.14999847407452621"/>
        <bgColor indexed="64"/>
      </patternFill>
    </fill>
    <fill>
      <patternFill patternType="solid">
        <fgColor rgb="FFFFFFCC"/>
        <bgColor indexed="64"/>
      </patternFill>
    </fill>
    <fill>
      <patternFill patternType="solid">
        <fgColor theme="0"/>
        <bgColor indexed="64"/>
      </patternFill>
    </fill>
    <fill>
      <patternFill patternType="solid">
        <fgColor rgb="FFF2F2F2"/>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rgb="FFFFFF00"/>
        <bgColor indexed="64"/>
      </patternFill>
    </fill>
  </fills>
  <borders count="10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right/>
      <top/>
      <bottom style="hair">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medium">
        <color auto="1"/>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style="hair">
        <color indexed="64"/>
      </top>
      <bottom style="hair">
        <color indexed="64"/>
      </bottom>
      <diagonal/>
    </border>
    <border>
      <left style="hair">
        <color indexed="64"/>
      </left>
      <right/>
      <top style="hair">
        <color indexed="64"/>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hair">
        <color indexed="64"/>
      </left>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right style="hair">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top/>
      <bottom style="hair">
        <color indexed="64"/>
      </bottom>
      <diagonal/>
    </border>
    <border>
      <left/>
      <right style="thin">
        <color indexed="64"/>
      </right>
      <top/>
      <bottom style="hair">
        <color indexed="64"/>
      </bottom>
      <diagonal/>
    </border>
    <border>
      <left style="thin">
        <color indexed="64"/>
      </left>
      <right style="hair">
        <color indexed="64"/>
      </right>
      <top style="hair">
        <color indexed="64"/>
      </top>
      <bottom style="hair">
        <color indexed="64"/>
      </bottom>
      <diagonal/>
    </border>
    <border>
      <left/>
      <right style="hair">
        <color indexed="64"/>
      </right>
      <top style="hair">
        <color indexed="64"/>
      </top>
      <bottom style="thin">
        <color indexed="64"/>
      </bottom>
      <diagonal/>
    </border>
    <border>
      <left style="hair">
        <color indexed="64"/>
      </left>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rgb="FF3F3F3F"/>
      </left>
      <right style="medium">
        <color indexed="64"/>
      </right>
      <top style="thin">
        <color rgb="FF3F3F3F"/>
      </top>
      <bottom style="thin">
        <color rgb="FF3F3F3F"/>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style="double">
        <color indexed="64"/>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thin">
        <color indexed="64"/>
      </left>
      <right style="double">
        <color indexed="64"/>
      </right>
      <top style="double">
        <color indexed="64"/>
      </top>
      <bottom/>
      <diagonal/>
    </border>
    <border>
      <left style="thin">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double">
        <color indexed="64"/>
      </right>
      <top style="thin">
        <color indexed="64"/>
      </top>
      <bottom style="thin">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double">
        <color indexed="64"/>
      </right>
      <top/>
      <bottom style="double">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bottom style="medium">
        <color indexed="64"/>
      </bottom>
      <diagonal/>
    </border>
    <border>
      <left style="medium">
        <color indexed="64"/>
      </left>
      <right/>
      <top style="thin">
        <color indexed="64"/>
      </top>
      <bottom style="medium">
        <color auto="1"/>
      </bottom>
      <diagonal/>
    </border>
    <border>
      <left/>
      <right/>
      <top style="thin">
        <color indexed="64"/>
      </top>
      <bottom style="medium">
        <color auto="1"/>
      </bottom>
      <diagonal/>
    </border>
  </borders>
  <cellStyleXfs count="4">
    <xf numFmtId="0" fontId="0" fillId="0" borderId="0"/>
    <xf numFmtId="164" fontId="28" fillId="0" borderId="0" applyFont="0" applyFill="0" applyBorder="0" applyAlignment="0" applyProtection="0"/>
    <xf numFmtId="0" fontId="29" fillId="5" borderId="67" applyNumberFormat="0" applyAlignment="0" applyProtection="0"/>
    <xf numFmtId="0" fontId="38" fillId="0" borderId="0" applyNumberFormat="0" applyFill="0" applyBorder="0" applyAlignment="0" applyProtection="0"/>
  </cellStyleXfs>
  <cellXfs count="467">
    <xf numFmtId="0" fontId="0" fillId="0" borderId="0" xfId="0"/>
    <xf numFmtId="0" fontId="0" fillId="0" borderId="0" xfId="0" applyAlignment="1">
      <alignment horizontal="center" vertical="center"/>
    </xf>
    <xf numFmtId="0" fontId="0" fillId="0" borderId="0" xfId="0" applyAlignment="1">
      <alignment vertical="center"/>
    </xf>
    <xf numFmtId="0" fontId="7" fillId="0" borderId="0" xfId="0" applyFont="1" applyBorder="1" applyAlignment="1">
      <alignment vertical="center"/>
    </xf>
    <xf numFmtId="0" fontId="10" fillId="0" borderId="2" xfId="0" applyFont="1" applyBorder="1" applyAlignment="1">
      <alignment vertical="center"/>
    </xf>
    <xf numFmtId="0" fontId="6" fillId="0" borderId="4" xfId="0" applyFont="1" applyBorder="1" applyAlignment="1">
      <alignment vertical="center"/>
    </xf>
    <xf numFmtId="0" fontId="0" fillId="0" borderId="0" xfId="0" applyBorder="1" applyAlignment="1">
      <alignment vertical="center"/>
    </xf>
    <xf numFmtId="0" fontId="0" fillId="0" borderId="0" xfId="0" applyBorder="1" applyAlignment="1">
      <alignment horizontal="center" vertical="center"/>
    </xf>
    <xf numFmtId="0" fontId="8" fillId="0" borderId="0" xfId="0" applyFont="1" applyAlignment="1">
      <alignment vertical="center"/>
    </xf>
    <xf numFmtId="0" fontId="7" fillId="0" borderId="0" xfId="0" applyFont="1" applyAlignment="1">
      <alignment vertical="center"/>
    </xf>
    <xf numFmtId="0" fontId="7" fillId="0" borderId="0" xfId="0" applyFont="1" applyAlignment="1">
      <alignment horizontal="center" vertical="center"/>
    </xf>
    <xf numFmtId="0" fontId="7" fillId="0" borderId="0" xfId="0" applyFont="1" applyFill="1" applyAlignment="1">
      <alignment horizontal="center" vertical="center"/>
    </xf>
    <xf numFmtId="0" fontId="7" fillId="0" borderId="0" xfId="0" applyFont="1" applyFill="1" applyAlignment="1">
      <alignment horizontal="left" vertical="center"/>
    </xf>
    <xf numFmtId="0" fontId="0" fillId="0" borderId="0" xfId="0" applyFill="1" applyAlignment="1">
      <alignment vertical="center"/>
    </xf>
    <xf numFmtId="0" fontId="6" fillId="0" borderId="0" xfId="0" applyFont="1" applyAlignment="1">
      <alignment horizontal="center" vertical="center" wrapText="1"/>
    </xf>
    <xf numFmtId="0" fontId="6" fillId="0" borderId="0" xfId="0" applyFont="1" applyAlignment="1">
      <alignment horizontal="justify" vertical="center"/>
    </xf>
    <xf numFmtId="0" fontId="6" fillId="0" borderId="0" xfId="0" applyFont="1" applyAlignment="1">
      <alignment horizontal="center" vertical="top"/>
    </xf>
    <xf numFmtId="0" fontId="6" fillId="0" borderId="0" xfId="0" applyFont="1" applyAlignment="1">
      <alignment horizontal="center" vertical="top" wrapText="1"/>
    </xf>
    <xf numFmtId="14" fontId="6" fillId="0" borderId="4" xfId="0" applyNumberFormat="1" applyFont="1" applyBorder="1" applyAlignment="1">
      <alignment horizontal="left" vertical="center"/>
    </xf>
    <xf numFmtId="0" fontId="12" fillId="0" borderId="0" xfId="0" applyFont="1" applyAlignment="1">
      <alignment vertical="center"/>
    </xf>
    <xf numFmtId="0" fontId="12" fillId="0" borderId="0" xfId="0" applyFont="1" applyAlignment="1">
      <alignment horizontal="justify" vertical="center" wrapText="1"/>
    </xf>
    <xf numFmtId="0" fontId="12" fillId="0" borderId="0" xfId="0" applyFont="1" applyAlignment="1">
      <alignment horizontal="justify" vertical="top" wrapText="1"/>
    </xf>
    <xf numFmtId="0" fontId="12" fillId="0" borderId="0" xfId="0" applyFont="1" applyAlignment="1">
      <alignment horizontal="justify" vertical="center"/>
    </xf>
    <xf numFmtId="0" fontId="18" fillId="0" borderId="0" xfId="0" applyFont="1" applyAlignment="1">
      <alignment horizontal="justify" vertical="center" wrapText="1"/>
    </xf>
    <xf numFmtId="0" fontId="6" fillId="0" borderId="0" xfId="0" applyFont="1" applyAlignment="1">
      <alignment vertical="center"/>
    </xf>
    <xf numFmtId="0" fontId="13" fillId="0" borderId="0" xfId="0" applyFont="1" applyAlignment="1">
      <alignment horizontal="justify" vertical="center" wrapText="1"/>
    </xf>
    <xf numFmtId="49" fontId="6" fillId="0" borderId="4" xfId="0" applyNumberFormat="1" applyFont="1" applyBorder="1" applyAlignment="1">
      <alignment vertical="center"/>
    </xf>
    <xf numFmtId="0" fontId="4" fillId="0" borderId="0" xfId="0" applyFont="1" applyAlignment="1">
      <alignment vertical="center"/>
    </xf>
    <xf numFmtId="0" fontId="8" fillId="0" borderId="0" xfId="0" applyFont="1" applyAlignment="1">
      <alignment horizontal="center" vertical="center"/>
    </xf>
    <xf numFmtId="0" fontId="7" fillId="0" borderId="0" xfId="0" applyFont="1" applyBorder="1" applyAlignment="1">
      <alignment horizontal="center" vertical="center"/>
    </xf>
    <xf numFmtId="0" fontId="7" fillId="0" borderId="0" xfId="0" applyFont="1" applyFill="1" applyBorder="1" applyAlignment="1">
      <alignment horizontal="left" vertical="center"/>
    </xf>
    <xf numFmtId="0" fontId="7" fillId="0" borderId="0" xfId="0" applyFont="1" applyFill="1" applyAlignment="1">
      <alignment vertical="center"/>
    </xf>
    <xf numFmtId="0" fontId="5" fillId="0" borderId="0" xfId="0" applyFont="1" applyAlignment="1">
      <alignment horizontal="center" vertical="center"/>
    </xf>
    <xf numFmtId="0" fontId="22" fillId="0" borderId="0" xfId="0" applyFont="1" applyBorder="1" applyAlignment="1">
      <alignment vertical="center"/>
    </xf>
    <xf numFmtId="0" fontId="8" fillId="0" borderId="15" xfId="0" applyFont="1" applyBorder="1" applyAlignment="1">
      <alignment horizontal="center" vertical="center" wrapText="1"/>
    </xf>
    <xf numFmtId="0" fontId="6" fillId="0" borderId="16" xfId="0" applyFont="1" applyBorder="1" applyAlignment="1">
      <alignment horizontal="center" vertical="center" wrapText="1"/>
    </xf>
    <xf numFmtId="0" fontId="6" fillId="0" borderId="31" xfId="0" applyFont="1" applyBorder="1" applyAlignment="1">
      <alignment horizontal="center" vertical="center" wrapText="1"/>
    </xf>
    <xf numFmtId="0" fontId="6" fillId="0" borderId="3" xfId="0" applyFont="1" applyBorder="1" applyAlignment="1">
      <alignment vertical="center" wrapText="1"/>
    </xf>
    <xf numFmtId="0" fontId="6" fillId="0" borderId="4" xfId="0" applyFont="1" applyBorder="1" applyAlignment="1">
      <alignment vertical="center" wrapText="1"/>
    </xf>
    <xf numFmtId="0" fontId="6" fillId="0" borderId="0" xfId="0" applyFont="1" applyBorder="1" applyAlignment="1">
      <alignment vertical="center" wrapText="1"/>
    </xf>
    <xf numFmtId="0" fontId="6" fillId="0" borderId="11" xfId="0" applyFont="1" applyBorder="1" applyAlignment="1">
      <alignment vertical="center" wrapText="1"/>
    </xf>
    <xf numFmtId="0" fontId="24" fillId="0" borderId="0" xfId="0" applyFont="1" applyAlignment="1">
      <alignment vertical="center"/>
    </xf>
    <xf numFmtId="0" fontId="24" fillId="0" borderId="0" xfId="0" applyFont="1" applyBorder="1" applyAlignment="1">
      <alignment vertical="center"/>
    </xf>
    <xf numFmtId="0" fontId="1" fillId="0" borderId="0" xfId="0" applyFont="1" applyAlignment="1">
      <alignment vertical="center"/>
    </xf>
    <xf numFmtId="0" fontId="1" fillId="0" borderId="0" xfId="0" applyFont="1" applyBorder="1" applyAlignment="1">
      <alignment horizontal="center" vertical="center"/>
    </xf>
    <xf numFmtId="0" fontId="24" fillId="0" borderId="1" xfId="0" applyFont="1" applyBorder="1" applyAlignment="1">
      <alignment vertical="center"/>
    </xf>
    <xf numFmtId="0" fontId="1" fillId="0" borderId="0" xfId="0" applyFont="1" applyBorder="1" applyAlignment="1">
      <alignment horizontal="right" vertical="center" wrapText="1"/>
    </xf>
    <xf numFmtId="0" fontId="3" fillId="3" borderId="45" xfId="0" applyFont="1" applyFill="1" applyBorder="1" applyAlignment="1">
      <alignment vertical="center" wrapText="1"/>
    </xf>
    <xf numFmtId="0" fontId="3" fillId="3" borderId="42" xfId="0" applyFont="1" applyFill="1" applyBorder="1" applyAlignment="1">
      <alignment vertical="center" wrapText="1"/>
    </xf>
    <xf numFmtId="0" fontId="1" fillId="0" borderId="45" xfId="0" applyFont="1" applyBorder="1" applyAlignment="1" applyProtection="1">
      <alignment vertical="center"/>
      <protection locked="0"/>
    </xf>
    <xf numFmtId="0" fontId="1" fillId="0" borderId="42" xfId="0" applyFont="1" applyBorder="1" applyAlignment="1" applyProtection="1">
      <alignment vertical="center"/>
      <protection locked="0"/>
    </xf>
    <xf numFmtId="0" fontId="1" fillId="0" borderId="45" xfId="0" applyFont="1" applyBorder="1" applyAlignment="1" applyProtection="1">
      <alignment vertical="center" wrapText="1"/>
      <protection locked="0"/>
    </xf>
    <xf numFmtId="0" fontId="1" fillId="0" borderId="42" xfId="0" applyFont="1" applyBorder="1" applyAlignment="1" applyProtection="1">
      <alignment vertical="center" wrapText="1"/>
      <protection locked="0"/>
    </xf>
    <xf numFmtId="0" fontId="1" fillId="0" borderId="0" xfId="0" applyFont="1" applyBorder="1" applyAlignment="1" applyProtection="1">
      <alignment vertical="center"/>
      <protection locked="0"/>
    </xf>
    <xf numFmtId="0" fontId="25" fillId="0" borderId="0" xfId="0" applyFont="1" applyAlignment="1">
      <alignment vertical="center"/>
    </xf>
    <xf numFmtId="0" fontId="6" fillId="0" borderId="0" xfId="0" applyFont="1" applyBorder="1" applyAlignment="1">
      <alignment vertical="center"/>
    </xf>
    <xf numFmtId="0" fontId="0" fillId="0" borderId="0" xfId="0" applyAlignment="1">
      <alignment horizontal="justify" vertical="center"/>
    </xf>
    <xf numFmtId="0" fontId="24" fillId="0" borderId="10" xfId="0" applyFont="1" applyBorder="1" applyAlignment="1">
      <alignment vertical="center"/>
    </xf>
    <xf numFmtId="0" fontId="1" fillId="0" borderId="10" xfId="0" applyFont="1" applyBorder="1" applyAlignment="1">
      <alignment vertical="center"/>
    </xf>
    <xf numFmtId="0" fontId="2" fillId="3" borderId="2" xfId="0" applyFont="1" applyFill="1" applyBorder="1" applyAlignment="1">
      <alignment horizontal="center" vertical="center"/>
    </xf>
    <xf numFmtId="0" fontId="27" fillId="0" borderId="0" xfId="0" applyFont="1" applyAlignment="1">
      <alignment vertical="center"/>
    </xf>
    <xf numFmtId="0" fontId="12" fillId="0" borderId="0" xfId="0" applyFont="1" applyAlignment="1">
      <alignment horizontal="justify" vertical="center" wrapText="1"/>
    </xf>
    <xf numFmtId="0" fontId="13" fillId="0" borderId="0" xfId="0" applyFont="1" applyAlignment="1">
      <alignment horizontal="justify" vertical="center" wrapText="1"/>
    </xf>
    <xf numFmtId="0" fontId="18" fillId="0" borderId="0" xfId="0" applyFont="1" applyAlignment="1">
      <alignment horizontal="justify" vertical="center" wrapText="1"/>
    </xf>
    <xf numFmtId="0" fontId="12" fillId="0" borderId="0" xfId="0" applyFont="1" applyAlignment="1">
      <alignment horizontal="justify" vertical="top" wrapText="1"/>
    </xf>
    <xf numFmtId="0" fontId="13" fillId="0" borderId="0" xfId="0" applyFont="1" applyAlignment="1">
      <alignment horizontal="left" vertical="center" wrapText="1"/>
    </xf>
    <xf numFmtId="0" fontId="30" fillId="4" borderId="69" xfId="0" applyFont="1" applyFill="1" applyBorder="1" applyAlignment="1" applyProtection="1">
      <alignment horizontal="center"/>
      <protection locked="0"/>
    </xf>
    <xf numFmtId="0" fontId="30" fillId="0" borderId="69" xfId="0" applyFont="1" applyBorder="1" applyProtection="1">
      <protection locked="0"/>
    </xf>
    <xf numFmtId="0" fontId="31" fillId="6" borderId="69" xfId="0" applyFont="1" applyFill="1" applyBorder="1" applyAlignment="1" applyProtection="1">
      <alignment horizontal="center" vertical="center"/>
      <protection locked="0"/>
    </xf>
    <xf numFmtId="0" fontId="0" fillId="6" borderId="69" xfId="0" applyFill="1" applyBorder="1" applyProtection="1">
      <protection locked="0"/>
    </xf>
    <xf numFmtId="0" fontId="0" fillId="6" borderId="70" xfId="0" applyFill="1" applyBorder="1" applyProtection="1">
      <protection locked="0"/>
    </xf>
    <xf numFmtId="0" fontId="0" fillId="0" borderId="0" xfId="0" applyProtection="1">
      <protection locked="0"/>
    </xf>
    <xf numFmtId="0" fontId="0" fillId="6" borderId="71" xfId="0" applyFill="1" applyBorder="1" applyAlignment="1" applyProtection="1">
      <alignment horizontal="center"/>
      <protection locked="0"/>
    </xf>
    <xf numFmtId="0" fontId="0" fillId="6" borderId="0" xfId="0" applyFill="1" applyBorder="1" applyAlignment="1" applyProtection="1">
      <alignment horizontal="center"/>
      <protection locked="0"/>
    </xf>
    <xf numFmtId="0" fontId="4" fillId="6" borderId="0" xfId="0" applyFont="1" applyFill="1" applyBorder="1" applyAlignment="1" applyProtection="1">
      <alignment horizontal="left"/>
      <protection locked="0"/>
    </xf>
    <xf numFmtId="0" fontId="4" fillId="6" borderId="72" xfId="0" applyFont="1" applyFill="1" applyBorder="1" applyAlignment="1" applyProtection="1">
      <alignment horizontal="left"/>
      <protection locked="0"/>
    </xf>
    <xf numFmtId="0" fontId="0" fillId="0" borderId="71" xfId="0" applyBorder="1" applyProtection="1">
      <protection locked="0"/>
    </xf>
    <xf numFmtId="0" fontId="32" fillId="6" borderId="0" xfId="0" applyFont="1" applyFill="1" applyBorder="1" applyAlignment="1" applyProtection="1">
      <protection locked="0"/>
    </xf>
    <xf numFmtId="0" fontId="0" fillId="0" borderId="0" xfId="0" applyBorder="1" applyProtection="1">
      <protection locked="0"/>
    </xf>
    <xf numFmtId="0" fontId="32" fillId="6" borderId="0" xfId="0" applyFont="1" applyFill="1" applyBorder="1" applyAlignment="1" applyProtection="1">
      <alignment horizontal="right"/>
      <protection locked="0"/>
    </xf>
    <xf numFmtId="0" fontId="30" fillId="6" borderId="0" xfId="0" applyFont="1" applyFill="1" applyBorder="1" applyAlignment="1" applyProtection="1">
      <alignment horizontal="right"/>
    </xf>
    <xf numFmtId="0" fontId="34" fillId="6" borderId="71" xfId="0" applyFont="1" applyFill="1" applyBorder="1" applyAlignment="1" applyProtection="1">
      <alignment horizontal="left"/>
      <protection locked="0"/>
    </xf>
    <xf numFmtId="0" fontId="34" fillId="6" borderId="0" xfId="0" applyFont="1" applyFill="1" applyBorder="1" applyAlignment="1" applyProtection="1">
      <alignment horizontal="left"/>
      <protection locked="0"/>
    </xf>
    <xf numFmtId="0" fontId="35" fillId="6" borderId="0" xfId="0" applyFont="1" applyFill="1" applyBorder="1" applyProtection="1">
      <protection locked="0"/>
    </xf>
    <xf numFmtId="0" fontId="35" fillId="6" borderId="72" xfId="0" applyFont="1" applyFill="1" applyBorder="1" applyProtection="1">
      <protection locked="0"/>
    </xf>
    <xf numFmtId="0" fontId="36" fillId="6" borderId="0" xfId="0" applyFont="1" applyFill="1" applyBorder="1" applyAlignment="1" applyProtection="1">
      <alignment horizontal="right" vertical="top"/>
      <protection locked="0"/>
    </xf>
    <xf numFmtId="0" fontId="40" fillId="6" borderId="71" xfId="0" applyFont="1" applyFill="1" applyBorder="1" applyProtection="1">
      <protection locked="0"/>
    </xf>
    <xf numFmtId="0" fontId="40" fillId="6" borderId="8" xfId="0" applyFont="1" applyFill="1" applyBorder="1" applyProtection="1">
      <protection locked="0"/>
    </xf>
    <xf numFmtId="0" fontId="40" fillId="6" borderId="83" xfId="0" applyFont="1" applyFill="1" applyBorder="1" applyProtection="1">
      <protection locked="0"/>
    </xf>
    <xf numFmtId="0" fontId="41" fillId="7" borderId="84" xfId="0" applyFont="1" applyFill="1" applyBorder="1" applyAlignment="1" applyProtection="1">
      <alignment horizontal="center" vertical="center"/>
    </xf>
    <xf numFmtId="0" fontId="41" fillId="7" borderId="85" xfId="0" applyFont="1" applyFill="1" applyBorder="1" applyAlignment="1" applyProtection="1">
      <alignment horizontal="center" vertical="center"/>
    </xf>
    <xf numFmtId="0" fontId="41" fillId="7" borderId="86" xfId="0" applyFont="1" applyFill="1" applyBorder="1" applyAlignment="1" applyProtection="1">
      <alignment horizontal="center" vertical="center"/>
    </xf>
    <xf numFmtId="0" fontId="41" fillId="7" borderId="88" xfId="0" applyFont="1" applyFill="1" applyBorder="1" applyAlignment="1" applyProtection="1">
      <alignment horizontal="center" vertical="center"/>
    </xf>
    <xf numFmtId="4" fontId="42" fillId="0" borderId="89" xfId="0" applyNumberFormat="1" applyFont="1" applyBorder="1" applyAlignment="1" applyProtection="1">
      <alignment horizontal="center" vertical="center"/>
      <protection locked="0"/>
    </xf>
    <xf numFmtId="4" fontId="42" fillId="0" borderId="90" xfId="1" applyNumberFormat="1" applyFont="1" applyFill="1" applyBorder="1" applyAlignment="1" applyProtection="1">
      <alignment horizontal="center" vertical="center"/>
      <protection locked="0"/>
    </xf>
    <xf numFmtId="0" fontId="42" fillId="0" borderId="91" xfId="0" applyFont="1" applyFill="1" applyBorder="1" applyAlignment="1" applyProtection="1">
      <alignment horizontal="center" vertical="center"/>
      <protection locked="0"/>
    </xf>
    <xf numFmtId="4" fontId="42" fillId="0" borderId="1" xfId="0" applyNumberFormat="1" applyFont="1" applyBorder="1" applyAlignment="1" applyProtection="1">
      <alignment horizontal="center" vertical="center"/>
      <protection locked="0"/>
    </xf>
    <xf numFmtId="4" fontId="42" fillId="0" borderId="92" xfId="1" applyNumberFormat="1" applyFont="1" applyFill="1" applyBorder="1" applyAlignment="1" applyProtection="1">
      <alignment horizontal="center" vertical="center"/>
      <protection locked="0"/>
    </xf>
    <xf numFmtId="4" fontId="37" fillId="0" borderId="94" xfId="0" applyNumberFormat="1" applyFont="1" applyFill="1" applyBorder="1" applyAlignment="1" applyProtection="1">
      <alignment horizontal="center" vertical="center" wrapText="1"/>
    </xf>
    <xf numFmtId="4" fontId="37" fillId="0" borderId="95" xfId="0" applyNumberFormat="1" applyFont="1" applyFill="1" applyBorder="1" applyAlignment="1" applyProtection="1">
      <alignment horizontal="center" vertical="center" shrinkToFit="1"/>
      <protection locked="0"/>
    </xf>
    <xf numFmtId="0" fontId="0" fillId="0" borderId="0" xfId="0" applyFill="1" applyProtection="1">
      <protection locked="0"/>
    </xf>
    <xf numFmtId="0" fontId="0" fillId="0" borderId="0" xfId="0" applyFill="1" applyBorder="1" applyProtection="1">
      <protection locked="0"/>
    </xf>
    <xf numFmtId="0" fontId="37" fillId="0" borderId="96" xfId="0" applyFont="1" applyFill="1" applyBorder="1" applyAlignment="1" applyProtection="1">
      <alignment vertical="center"/>
    </xf>
    <xf numFmtId="0" fontId="44" fillId="0" borderId="98" xfId="0" applyFont="1" applyFill="1" applyBorder="1" applyAlignment="1" applyProtection="1">
      <alignment horizontal="left" vertical="center"/>
    </xf>
    <xf numFmtId="0" fontId="44" fillId="8" borderId="1" xfId="0" applyFont="1" applyFill="1" applyBorder="1" applyAlignment="1" applyProtection="1">
      <alignment horizontal="right" vertical="center"/>
    </xf>
    <xf numFmtId="0" fontId="46" fillId="0" borderId="0" xfId="0" applyFont="1" applyProtection="1">
      <protection locked="0"/>
    </xf>
    <xf numFmtId="0" fontId="43" fillId="0" borderId="1" xfId="0" applyNumberFormat="1" applyFont="1" applyBorder="1" applyAlignment="1" applyProtection="1">
      <alignment horizontal="center" vertical="center"/>
      <protection locked="0"/>
    </xf>
    <xf numFmtId="0" fontId="43" fillId="0" borderId="1" xfId="0" applyNumberFormat="1" applyFont="1" applyFill="1" applyBorder="1" applyAlignment="1" applyProtection="1">
      <alignment horizontal="center" vertical="center"/>
      <protection locked="0"/>
    </xf>
    <xf numFmtId="0" fontId="12" fillId="0" borderId="0" xfId="0" applyFont="1" applyAlignment="1">
      <alignment horizontal="justify" vertical="top" wrapText="1"/>
    </xf>
    <xf numFmtId="0" fontId="10" fillId="0" borderId="0" xfId="0" applyFont="1" applyBorder="1" applyAlignment="1">
      <alignment vertical="center"/>
    </xf>
    <xf numFmtId="49" fontId="6" fillId="0" borderId="0" xfId="0" applyNumberFormat="1" applyFont="1" applyBorder="1" applyAlignment="1">
      <alignment vertical="center"/>
    </xf>
    <xf numFmtId="14" fontId="6" fillId="0" borderId="0" xfId="0" applyNumberFormat="1" applyFont="1" applyBorder="1" applyAlignment="1">
      <alignment horizontal="left" vertical="center"/>
    </xf>
    <xf numFmtId="0" fontId="13" fillId="0" borderId="0" xfId="0" applyFont="1" applyAlignment="1">
      <alignment vertical="center" wrapText="1"/>
    </xf>
    <xf numFmtId="0" fontId="12" fillId="0" borderId="0" xfId="0" applyFont="1" applyAlignment="1">
      <alignment vertical="center" wrapText="1"/>
    </xf>
    <xf numFmtId="0" fontId="5" fillId="0" borderId="0" xfId="0" applyFont="1" applyAlignment="1">
      <alignment horizontal="left" indent="1"/>
    </xf>
    <xf numFmtId="0" fontId="4" fillId="0" borderId="0" xfId="0" applyFont="1" applyAlignment="1">
      <alignment vertical="top"/>
    </xf>
    <xf numFmtId="0" fontId="12" fillId="0" borderId="0" xfId="0" applyFont="1" applyAlignment="1">
      <alignment horizontal="justify" wrapText="1"/>
    </xf>
    <xf numFmtId="0" fontId="5" fillId="0" borderId="0" xfId="0" applyFont="1" applyAlignment="1">
      <alignment horizontal="left" vertical="top" indent="1"/>
    </xf>
    <xf numFmtId="0" fontId="5" fillId="0" borderId="0" xfId="0" applyFont="1" applyAlignment="1">
      <alignment horizontal="left" vertical="center" indent="1"/>
    </xf>
    <xf numFmtId="0" fontId="4" fillId="0" borderId="0" xfId="0" applyFont="1" applyAlignment="1"/>
    <xf numFmtId="0" fontId="5" fillId="0" borderId="0" xfId="0" applyFont="1" applyAlignment="1">
      <alignment horizontal="justify" vertical="center"/>
    </xf>
    <xf numFmtId="0" fontId="13" fillId="0" borderId="0" xfId="0" applyFont="1" applyAlignment="1">
      <alignment horizontal="justify" vertical="center"/>
    </xf>
    <xf numFmtId="0" fontId="13" fillId="0" borderId="0" xfId="0" applyFont="1" applyAlignment="1">
      <alignment vertical="center"/>
    </xf>
    <xf numFmtId="0" fontId="12" fillId="0" borderId="1" xfId="0" applyFont="1" applyBorder="1" applyAlignment="1">
      <alignment horizontal="justify" vertical="center" wrapText="1"/>
    </xf>
    <xf numFmtId="0" fontId="12" fillId="0" borderId="1" xfId="0" applyFont="1" applyBorder="1" applyAlignment="1">
      <alignment vertical="center" wrapText="1"/>
    </xf>
    <xf numFmtId="0" fontId="8" fillId="2" borderId="1" xfId="0" applyFont="1" applyFill="1" applyBorder="1" applyAlignment="1">
      <alignment horizontal="center" vertical="center" wrapText="1"/>
    </xf>
    <xf numFmtId="0" fontId="6" fillId="0" borderId="0" xfId="0" applyFont="1" applyAlignment="1">
      <alignment vertical="center" wrapText="1"/>
    </xf>
    <xf numFmtId="0" fontId="8" fillId="0" borderId="0" xfId="0" applyFont="1" applyBorder="1" applyAlignment="1">
      <alignment vertical="center"/>
    </xf>
    <xf numFmtId="0" fontId="13" fillId="0" borderId="0" xfId="0" applyFont="1" applyAlignment="1">
      <alignment horizontal="right" vertical="center" wrapText="1"/>
    </xf>
    <xf numFmtId="0" fontId="42" fillId="0" borderId="84" xfId="0" applyFont="1" applyFill="1" applyBorder="1" applyAlignment="1" applyProtection="1">
      <alignment horizontal="center" vertical="center"/>
      <protection locked="0"/>
    </xf>
    <xf numFmtId="0" fontId="43" fillId="0" borderId="85" xfId="0" applyNumberFormat="1" applyFont="1" applyBorder="1" applyAlignment="1" applyProtection="1">
      <alignment horizontal="center" vertical="center"/>
      <protection locked="0"/>
    </xf>
    <xf numFmtId="0" fontId="43" fillId="0" borderId="85" xfId="0" applyNumberFormat="1" applyFont="1" applyFill="1" applyBorder="1" applyAlignment="1" applyProtection="1">
      <alignment horizontal="center" vertical="center"/>
      <protection locked="0"/>
    </xf>
    <xf numFmtId="0" fontId="49" fillId="0" borderId="1" xfId="0" applyFont="1" applyFill="1" applyBorder="1" applyAlignment="1" applyProtection="1">
      <alignment horizontal="left" vertical="center" indent="1"/>
      <protection locked="0"/>
    </xf>
    <xf numFmtId="14" fontId="49" fillId="0" borderId="1" xfId="0" applyNumberFormat="1" applyFont="1" applyFill="1" applyBorder="1" applyAlignment="1" applyProtection="1">
      <alignment horizontal="left" vertical="center" wrapText="1" indent="1"/>
      <protection locked="0"/>
    </xf>
    <xf numFmtId="49" fontId="49" fillId="0" borderId="1" xfId="0" applyNumberFormat="1" applyFont="1" applyFill="1" applyBorder="1" applyAlignment="1" applyProtection="1">
      <alignment horizontal="left" vertical="center" wrapText="1" indent="1"/>
      <protection locked="0"/>
    </xf>
    <xf numFmtId="0" fontId="49" fillId="0" borderId="85" xfId="0" applyFont="1" applyFill="1" applyBorder="1" applyAlignment="1" applyProtection="1">
      <alignment horizontal="center" vertical="center" wrapText="1"/>
      <protection locked="0"/>
    </xf>
    <xf numFmtId="0" fontId="49" fillId="0" borderId="1" xfId="0" applyFont="1" applyFill="1" applyBorder="1" applyAlignment="1" applyProtection="1">
      <alignment horizontal="center" vertical="center" wrapText="1"/>
      <protection locked="0"/>
    </xf>
    <xf numFmtId="0" fontId="2" fillId="3" borderId="35" xfId="0" applyFont="1" applyFill="1" applyBorder="1" applyAlignment="1">
      <alignment vertical="center" wrapText="1"/>
    </xf>
    <xf numFmtId="0" fontId="2" fillId="3" borderId="16" xfId="0" applyFont="1" applyFill="1" applyBorder="1" applyAlignment="1">
      <alignment vertical="center" wrapText="1"/>
    </xf>
    <xf numFmtId="0" fontId="2" fillId="3" borderId="30" xfId="0" applyFont="1" applyFill="1" applyBorder="1" applyAlignment="1">
      <alignment vertical="center" wrapText="1"/>
    </xf>
    <xf numFmtId="0" fontId="2" fillId="2" borderId="2" xfId="0" applyFont="1" applyFill="1" applyBorder="1" applyAlignment="1" applyProtection="1">
      <alignment horizontal="center" vertical="center" wrapText="1"/>
    </xf>
    <xf numFmtId="0" fontId="7" fillId="0" borderId="35" xfId="0" applyFont="1" applyBorder="1" applyAlignment="1">
      <alignment vertical="center" wrapText="1"/>
    </xf>
    <xf numFmtId="0" fontId="7" fillId="0" borderId="16" xfId="0" applyFont="1" applyBorder="1" applyAlignment="1">
      <alignment vertical="center" wrapText="1"/>
    </xf>
    <xf numFmtId="0" fontId="7" fillId="0" borderId="31" xfId="0" applyFont="1" applyBorder="1" applyAlignment="1">
      <alignment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51" fillId="0" borderId="1" xfId="0" applyFont="1" applyBorder="1" applyAlignment="1">
      <alignment horizontal="center" vertical="center" wrapText="1"/>
    </xf>
    <xf numFmtId="4" fontId="51" fillId="0" borderId="0" xfId="0" applyNumberFormat="1" applyFont="1" applyBorder="1" applyAlignment="1">
      <alignment horizontal="center" vertical="center"/>
    </xf>
    <xf numFmtId="4" fontId="51" fillId="0" borderId="11" xfId="0" applyNumberFormat="1" applyFont="1" applyBorder="1" applyAlignment="1">
      <alignment horizontal="center" vertical="center"/>
    </xf>
    <xf numFmtId="0" fontId="51" fillId="0" borderId="1" xfId="0" applyFont="1" applyBorder="1" applyAlignment="1">
      <alignment horizontal="center" vertical="center"/>
    </xf>
    <xf numFmtId="0" fontId="51" fillId="0" borderId="39" xfId="0" applyFont="1" applyBorder="1" applyAlignment="1" applyProtection="1">
      <alignment vertical="center"/>
      <protection locked="0"/>
    </xf>
    <xf numFmtId="0" fontId="51" fillId="0" borderId="40" xfId="0" applyFont="1" applyBorder="1" applyAlignment="1" applyProtection="1">
      <alignment vertical="center"/>
      <protection locked="0"/>
    </xf>
    <xf numFmtId="0" fontId="51" fillId="0" borderId="47" xfId="0" applyFont="1" applyBorder="1" applyAlignment="1" applyProtection="1">
      <alignment vertical="center"/>
      <protection locked="0"/>
    </xf>
    <xf numFmtId="0" fontId="51" fillId="0" borderId="45" xfId="0" applyFont="1" applyBorder="1" applyAlignment="1" applyProtection="1">
      <alignment vertical="center" wrapText="1"/>
      <protection locked="0"/>
    </xf>
    <xf numFmtId="0" fontId="51" fillId="0" borderId="42" xfId="0" applyFont="1" applyBorder="1" applyAlignment="1" applyProtection="1">
      <alignment vertical="center" wrapText="1"/>
      <protection locked="0"/>
    </xf>
    <xf numFmtId="0" fontId="51" fillId="0" borderId="17" xfId="0" applyFont="1" applyBorder="1" applyAlignment="1" applyProtection="1">
      <alignment vertical="center" wrapText="1"/>
      <protection locked="0"/>
    </xf>
    <xf numFmtId="0" fontId="51" fillId="0" borderId="50" xfId="0" applyFont="1" applyBorder="1" applyAlignment="1" applyProtection="1">
      <alignment vertical="center" wrapText="1"/>
      <protection locked="0"/>
    </xf>
    <xf numFmtId="0" fontId="51" fillId="0" borderId="37" xfId="0" applyFont="1" applyBorder="1" applyAlignment="1" applyProtection="1">
      <alignment vertical="center" wrapText="1"/>
      <protection locked="0"/>
    </xf>
    <xf numFmtId="0" fontId="51" fillId="0" borderId="18" xfId="0" applyFont="1" applyBorder="1" applyAlignment="1" applyProtection="1">
      <alignment vertical="center" wrapText="1"/>
      <protection locked="0"/>
    </xf>
    <xf numFmtId="0" fontId="7" fillId="0" borderId="55" xfId="0" applyFont="1" applyBorder="1" applyAlignment="1">
      <alignment vertical="center"/>
    </xf>
    <xf numFmtId="0" fontId="7" fillId="0" borderId="33" xfId="0" applyFont="1" applyBorder="1" applyAlignment="1">
      <alignment vertical="center"/>
    </xf>
    <xf numFmtId="0" fontId="7" fillId="0" borderId="51" xfId="0" applyFont="1" applyBorder="1" applyAlignment="1">
      <alignment vertical="center"/>
    </xf>
    <xf numFmtId="0" fontId="51" fillId="0" borderId="55" xfId="0" applyFont="1" applyBorder="1" applyAlignment="1">
      <alignment vertical="center"/>
    </xf>
    <xf numFmtId="0" fontId="51" fillId="0" borderId="33" xfId="0" applyFont="1" applyBorder="1" applyAlignment="1">
      <alignment vertical="center"/>
    </xf>
    <xf numFmtId="14" fontId="7" fillId="0" borderId="45" xfId="0" applyNumberFormat="1" applyFont="1" applyBorder="1" applyAlignment="1">
      <alignment vertical="center"/>
    </xf>
    <xf numFmtId="14" fontId="7" fillId="0" borderId="42" xfId="0" applyNumberFormat="1" applyFont="1" applyBorder="1" applyAlignment="1">
      <alignment vertical="center"/>
    </xf>
    <xf numFmtId="14" fontId="7" fillId="0" borderId="17" xfId="0" applyNumberFormat="1" applyFont="1" applyBorder="1" applyAlignment="1">
      <alignment vertical="center"/>
    </xf>
    <xf numFmtId="14" fontId="51" fillId="0" borderId="45" xfId="0" applyNumberFormat="1" applyFont="1" applyBorder="1" applyAlignment="1">
      <alignment vertical="center"/>
    </xf>
    <xf numFmtId="14" fontId="51" fillId="0" borderId="42" xfId="0" applyNumberFormat="1" applyFont="1" applyBorder="1" applyAlignment="1">
      <alignment vertical="center"/>
    </xf>
    <xf numFmtId="0" fontId="7" fillId="4" borderId="50" xfId="0" applyFont="1" applyFill="1" applyBorder="1" applyAlignment="1">
      <alignment horizontal="left" vertical="center"/>
    </xf>
    <xf numFmtId="0" fontId="7" fillId="4" borderId="37" xfId="0" applyFont="1" applyFill="1" applyBorder="1" applyAlignment="1">
      <alignment horizontal="left" vertical="center"/>
    </xf>
    <xf numFmtId="0" fontId="7" fillId="4" borderId="18" xfId="0" applyFont="1" applyFill="1" applyBorder="1" applyAlignment="1">
      <alignment horizontal="left" vertical="center"/>
    </xf>
    <xf numFmtId="0" fontId="51" fillId="4" borderId="50" xfId="0" applyFont="1" applyFill="1" applyBorder="1" applyAlignment="1">
      <alignment horizontal="left" vertical="center"/>
    </xf>
    <xf numFmtId="0" fontId="51" fillId="4" borderId="37" xfId="0" applyFont="1" applyFill="1" applyBorder="1" applyAlignment="1">
      <alignment horizontal="left" vertical="center"/>
    </xf>
    <xf numFmtId="0" fontId="51" fillId="9" borderId="35" xfId="0" applyFont="1" applyFill="1" applyBorder="1" applyAlignment="1" applyProtection="1">
      <alignment vertical="center"/>
      <protection locked="0"/>
    </xf>
    <xf numFmtId="0" fontId="51" fillId="9" borderId="16" xfId="0" applyFont="1" applyFill="1" applyBorder="1" applyAlignment="1" applyProtection="1">
      <alignment vertical="center"/>
      <protection locked="0"/>
    </xf>
    <xf numFmtId="0" fontId="51" fillId="9" borderId="30" xfId="0" applyFont="1" applyFill="1" applyBorder="1" applyAlignment="1" applyProtection="1">
      <alignment vertical="center"/>
      <protection locked="0"/>
    </xf>
    <xf numFmtId="0" fontId="51" fillId="9" borderId="1" xfId="0" applyFont="1" applyFill="1" applyBorder="1" applyAlignment="1" applyProtection="1">
      <alignment vertical="center"/>
      <protection locked="0"/>
    </xf>
    <xf numFmtId="0" fontId="49" fillId="0" borderId="1" xfId="0" applyFont="1" applyFill="1" applyBorder="1" applyAlignment="1" applyProtection="1">
      <alignment horizontal="left" vertical="center" wrapText="1" indent="1"/>
      <protection locked="0"/>
    </xf>
    <xf numFmtId="0" fontId="12" fillId="0" borderId="0" xfId="0" applyFont="1" applyAlignment="1">
      <alignment horizontal="justify" vertical="center" wrapText="1"/>
    </xf>
    <xf numFmtId="0" fontId="13" fillId="0" borderId="0" xfId="0" applyFont="1" applyAlignment="1">
      <alignment horizontal="justify" vertical="center" wrapText="1"/>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0" fillId="0" borderId="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8" fillId="0" borderId="8" xfId="0" applyFont="1" applyBorder="1" applyAlignment="1">
      <alignment horizontal="center" vertical="center"/>
    </xf>
    <xf numFmtId="0" fontId="8" fillId="0" borderId="9" xfId="0" applyFont="1" applyBorder="1" applyAlignment="1">
      <alignment horizontal="center" vertical="center"/>
    </xf>
    <xf numFmtId="0" fontId="8" fillId="0" borderId="0" xfId="0" applyFont="1" applyBorder="1" applyAlignment="1">
      <alignment horizontal="center" vertical="center"/>
    </xf>
    <xf numFmtId="0" fontId="8" fillId="0" borderId="11" xfId="0" applyFont="1" applyBorder="1" applyAlignment="1">
      <alignment horizontal="center" vertical="center"/>
    </xf>
    <xf numFmtId="0" fontId="8" fillId="0" borderId="5" xfId="0" applyFont="1" applyBorder="1" applyAlignment="1">
      <alignment horizontal="center" vertical="center"/>
    </xf>
    <xf numFmtId="0" fontId="8" fillId="0" borderId="13" xfId="0" applyFont="1" applyBorder="1" applyAlignment="1">
      <alignment horizontal="center" vertical="center"/>
    </xf>
    <xf numFmtId="0" fontId="13" fillId="0" borderId="0" xfId="0" applyFont="1" applyAlignment="1">
      <alignment horizontal="center" vertical="center" wrapText="1"/>
    </xf>
    <xf numFmtId="0" fontId="13" fillId="0" borderId="0" xfId="0" applyFont="1" applyAlignment="1">
      <alignment horizontal="center" vertical="center"/>
    </xf>
    <xf numFmtId="0" fontId="6" fillId="0" borderId="0" xfId="0" applyFont="1" applyAlignment="1">
      <alignment horizontal="justify" vertical="center" wrapText="1"/>
    </xf>
    <xf numFmtId="0" fontId="18" fillId="0" borderId="0" xfId="0" applyFont="1" applyAlignment="1">
      <alignment horizontal="justify" vertical="center" wrapText="1"/>
    </xf>
    <xf numFmtId="0" fontId="12" fillId="0" borderId="0" xfId="0" applyFont="1" applyAlignment="1">
      <alignment horizontal="justify" vertical="top" wrapText="1"/>
    </xf>
    <xf numFmtId="0" fontId="7" fillId="0" borderId="6" xfId="0" applyFont="1" applyBorder="1" applyAlignment="1">
      <alignment horizontal="center" vertical="center"/>
    </xf>
    <xf numFmtId="0" fontId="6" fillId="0" borderId="0" xfId="0" applyFont="1" applyAlignment="1">
      <alignment horizontal="justify" vertical="top" wrapText="1"/>
    </xf>
    <xf numFmtId="0" fontId="6" fillId="0" borderId="0" xfId="0" applyFont="1" applyAlignment="1">
      <alignment horizontal="justify" vertical="top"/>
    </xf>
    <xf numFmtId="0" fontId="9" fillId="0" borderId="0" xfId="0" applyFont="1" applyBorder="1" applyAlignment="1">
      <alignment horizontal="center" vertical="center"/>
    </xf>
    <xf numFmtId="0" fontId="7" fillId="0" borderId="20" xfId="0" applyFont="1" applyBorder="1" applyAlignment="1">
      <alignment horizontal="left" vertical="center"/>
    </xf>
    <xf numFmtId="0" fontId="21" fillId="0" borderId="0" xfId="0" applyFont="1" applyBorder="1" applyAlignment="1">
      <alignment horizontal="center" vertical="center"/>
    </xf>
    <xf numFmtId="0" fontId="5" fillId="0" borderId="14" xfId="0" applyFont="1" applyBorder="1" applyAlignment="1">
      <alignment horizontal="center" vertical="center"/>
    </xf>
    <xf numFmtId="0" fontId="7" fillId="2" borderId="0" xfId="0" applyFont="1" applyFill="1" applyAlignment="1">
      <alignment horizontal="left" vertical="center"/>
    </xf>
    <xf numFmtId="0" fontId="7" fillId="0" borderId="6" xfId="0" applyFont="1" applyBorder="1" applyAlignment="1">
      <alignment horizontal="left" vertical="center"/>
    </xf>
    <xf numFmtId="0" fontId="8" fillId="0" borderId="0" xfId="0" applyFont="1" applyAlignment="1">
      <alignment horizontal="left" vertical="center"/>
    </xf>
    <xf numFmtId="0" fontId="8" fillId="0" borderId="7" xfId="0" applyFont="1" applyBorder="1" applyAlignment="1">
      <alignment horizontal="center" vertical="center"/>
    </xf>
    <xf numFmtId="0" fontId="8" fillId="0" borderId="10" xfId="0" applyFont="1" applyBorder="1" applyAlignment="1">
      <alignment horizontal="center" vertical="center"/>
    </xf>
    <xf numFmtId="0" fontId="8" fillId="0" borderId="12" xfId="0" applyFont="1" applyBorder="1" applyAlignment="1">
      <alignment horizontal="center" vertical="center"/>
    </xf>
    <xf numFmtId="0" fontId="7" fillId="2" borderId="0" xfId="0" applyFont="1" applyFill="1" applyAlignment="1">
      <alignment horizontal="left" vertical="center" wrapText="1"/>
    </xf>
    <xf numFmtId="0" fontId="10" fillId="0" borderId="2" xfId="0" applyFont="1" applyBorder="1" applyAlignment="1">
      <alignment horizontal="left" vertical="center"/>
    </xf>
    <xf numFmtId="0" fontId="10" fillId="0" borderId="3" xfId="0" applyFont="1" applyBorder="1" applyAlignment="1">
      <alignment horizontal="left" vertical="center"/>
    </xf>
    <xf numFmtId="0" fontId="6" fillId="0" borderId="3" xfId="0" applyFont="1" applyBorder="1" applyAlignment="1">
      <alignment horizontal="left" vertical="center"/>
    </xf>
    <xf numFmtId="0" fontId="6" fillId="0" borderId="4" xfId="0" applyFont="1" applyBorder="1" applyAlignment="1">
      <alignment horizontal="left" vertical="center"/>
    </xf>
    <xf numFmtId="49" fontId="6" fillId="0" borderId="3" xfId="0" applyNumberFormat="1" applyFont="1" applyBorder="1" applyAlignment="1">
      <alignment horizontal="left" vertical="center"/>
    </xf>
    <xf numFmtId="49" fontId="6" fillId="0" borderId="4" xfId="0" applyNumberFormat="1" applyFont="1" applyBorder="1" applyAlignment="1">
      <alignment horizontal="left" vertical="center"/>
    </xf>
    <xf numFmtId="14" fontId="6" fillId="0" borderId="3" xfId="0" applyNumberFormat="1" applyFont="1" applyBorder="1" applyAlignment="1">
      <alignment horizontal="left" vertical="center"/>
    </xf>
    <xf numFmtId="14" fontId="7" fillId="0" borderId="22" xfId="0" applyNumberFormat="1" applyFont="1" applyBorder="1" applyAlignment="1">
      <alignment horizontal="center" vertical="center"/>
    </xf>
    <xf numFmtId="14" fontId="7" fillId="0" borderId="23" xfId="0" applyNumberFormat="1" applyFont="1" applyBorder="1" applyAlignment="1">
      <alignment horizontal="center" vertical="center"/>
    </xf>
    <xf numFmtId="0" fontId="8" fillId="2" borderId="66" xfId="0" applyFont="1" applyFill="1" applyBorder="1" applyAlignment="1">
      <alignment horizontal="center" vertical="center"/>
    </xf>
    <xf numFmtId="0" fontId="8" fillId="2" borderId="65" xfId="0" applyFont="1" applyFill="1" applyBorder="1" applyAlignment="1">
      <alignment horizontal="center" vertical="center"/>
    </xf>
    <xf numFmtId="0" fontId="4" fillId="9" borderId="56" xfId="0" applyFont="1" applyFill="1" applyBorder="1" applyAlignment="1">
      <alignment horizontal="justify" vertical="center" wrapText="1"/>
    </xf>
    <xf numFmtId="0" fontId="4" fillId="9" borderId="57" xfId="0" applyFont="1" applyFill="1" applyBorder="1" applyAlignment="1">
      <alignment horizontal="justify" vertical="center" wrapText="1"/>
    </xf>
    <xf numFmtId="0" fontId="4" fillId="9" borderId="58" xfId="0" applyFont="1" applyFill="1" applyBorder="1" applyAlignment="1">
      <alignment horizontal="justify" vertical="center" wrapText="1"/>
    </xf>
    <xf numFmtId="0" fontId="4" fillId="9" borderId="59" xfId="0" applyFont="1" applyFill="1" applyBorder="1" applyAlignment="1">
      <alignment horizontal="justify" vertical="center" wrapText="1"/>
    </xf>
    <xf numFmtId="0" fontId="4" fillId="9" borderId="0" xfId="0" applyFont="1" applyFill="1" applyBorder="1" applyAlignment="1">
      <alignment horizontal="justify" vertical="center" wrapText="1"/>
    </xf>
    <xf numFmtId="0" fontId="4" fillId="9" borderId="60" xfId="0" applyFont="1" applyFill="1" applyBorder="1" applyAlignment="1">
      <alignment horizontal="justify" vertical="center" wrapText="1"/>
    </xf>
    <xf numFmtId="0" fontId="4" fillId="9" borderId="61" xfId="0" applyFont="1" applyFill="1" applyBorder="1" applyAlignment="1">
      <alignment horizontal="justify" vertical="center" wrapText="1"/>
    </xf>
    <xf numFmtId="0" fontId="4" fillId="9" borderId="62" xfId="0" applyFont="1" applyFill="1" applyBorder="1" applyAlignment="1">
      <alignment horizontal="justify" vertical="center" wrapText="1"/>
    </xf>
    <xf numFmtId="0" fontId="4" fillId="9" borderId="63" xfId="0" applyFont="1" applyFill="1" applyBorder="1" applyAlignment="1">
      <alignment horizontal="justify" vertical="center" wrapText="1"/>
    </xf>
    <xf numFmtId="0" fontId="8" fillId="2" borderId="64" xfId="0" applyFont="1" applyFill="1" applyBorder="1" applyAlignment="1">
      <alignment horizontal="center" vertical="center"/>
    </xf>
    <xf numFmtId="0" fontId="8" fillId="2" borderId="2" xfId="0" applyFont="1" applyFill="1" applyBorder="1" applyAlignment="1">
      <alignment horizontal="center" vertical="center"/>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0" fontId="7" fillId="0" borderId="52" xfId="0" applyFont="1" applyBorder="1" applyAlignment="1">
      <alignment horizontal="center" vertical="center"/>
    </xf>
    <xf numFmtId="0" fontId="7" fillId="0" borderId="53" xfId="0" applyFont="1" applyBorder="1" applyAlignment="1">
      <alignment horizontal="center" vertical="center"/>
    </xf>
    <xf numFmtId="0" fontId="7" fillId="0" borderId="54" xfId="0" applyFont="1" applyBorder="1" applyAlignment="1">
      <alignment horizontal="center" vertical="center"/>
    </xf>
    <xf numFmtId="0" fontId="7" fillId="0" borderId="19" xfId="0" applyFont="1" applyBorder="1" applyAlignment="1">
      <alignment horizontal="center" vertical="center"/>
    </xf>
    <xf numFmtId="0" fontId="7" fillId="0" borderId="20" xfId="0" applyFont="1" applyBorder="1" applyAlignment="1">
      <alignment horizontal="center" vertical="center"/>
    </xf>
    <xf numFmtId="0" fontId="7" fillId="0" borderId="21" xfId="0" applyFont="1" applyBorder="1" applyAlignment="1">
      <alignment horizontal="center" vertical="center"/>
    </xf>
    <xf numFmtId="0" fontId="8" fillId="0" borderId="19" xfId="0" applyFont="1" applyBorder="1" applyAlignment="1">
      <alignment horizontal="center" vertical="center"/>
    </xf>
    <xf numFmtId="0" fontId="8" fillId="0" borderId="20" xfId="0" applyFont="1" applyBorder="1" applyAlignment="1">
      <alignment horizontal="center" vertical="center"/>
    </xf>
    <xf numFmtId="0" fontId="8" fillId="0" borderId="21" xfId="0" applyFont="1" applyBorder="1" applyAlignment="1">
      <alignment horizontal="center" vertical="center"/>
    </xf>
    <xf numFmtId="14" fontId="7" fillId="0" borderId="24" xfId="0" applyNumberFormat="1" applyFont="1" applyBorder="1" applyAlignment="1">
      <alignment horizontal="center" vertical="center"/>
    </xf>
    <xf numFmtId="0" fontId="7" fillId="0" borderId="22" xfId="0" applyFont="1" applyBorder="1" applyAlignment="1">
      <alignment horizontal="center" vertical="center"/>
    </xf>
    <xf numFmtId="0" fontId="7" fillId="0" borderId="23" xfId="0" applyFont="1" applyBorder="1" applyAlignment="1">
      <alignment horizontal="center" vertical="center"/>
    </xf>
    <xf numFmtId="0" fontId="2" fillId="2" borderId="49" xfId="0" applyFont="1" applyFill="1" applyBorder="1" applyAlignment="1" applyProtection="1">
      <alignment horizontal="left" vertical="center" wrapText="1"/>
    </xf>
    <xf numFmtId="0" fontId="2" fillId="2" borderId="42" xfId="0" applyFont="1" applyFill="1" applyBorder="1" applyAlignment="1" applyProtection="1">
      <alignment horizontal="left" vertical="center" wrapText="1"/>
    </xf>
    <xf numFmtId="0" fontId="2" fillId="2" borderId="17" xfId="0" applyFont="1" applyFill="1" applyBorder="1" applyAlignment="1" applyProtection="1">
      <alignment horizontal="left" vertical="center" wrapText="1"/>
    </xf>
    <xf numFmtId="14" fontId="51" fillId="0" borderId="49" xfId="0" applyNumberFormat="1" applyFont="1" applyBorder="1" applyAlignment="1" applyProtection="1">
      <alignment horizontal="center" vertical="center"/>
      <protection locked="0"/>
    </xf>
    <xf numFmtId="14" fontId="51" fillId="0" borderId="42" xfId="0" applyNumberFormat="1" applyFont="1" applyBorder="1" applyAlignment="1" applyProtection="1">
      <alignment horizontal="center" vertical="center"/>
      <protection locked="0"/>
    </xf>
    <xf numFmtId="14" fontId="51" fillId="0" borderId="43" xfId="0" applyNumberFormat="1" applyFont="1" applyBorder="1" applyAlignment="1" applyProtection="1">
      <alignment horizontal="center" vertical="center"/>
      <protection locked="0"/>
    </xf>
    <xf numFmtId="0" fontId="2" fillId="2" borderId="36" xfId="0" applyFont="1" applyFill="1" applyBorder="1" applyAlignment="1" applyProtection="1">
      <alignment horizontal="left" vertical="center" wrapText="1"/>
    </xf>
    <xf numFmtId="0" fontId="2" fillId="2" borderId="37" xfId="0" applyFont="1" applyFill="1" applyBorder="1" applyAlignment="1" applyProtection="1">
      <alignment horizontal="left" vertical="center" wrapText="1"/>
    </xf>
    <xf numFmtId="0" fontId="2" fillId="2" borderId="18" xfId="0" applyFont="1" applyFill="1" applyBorder="1" applyAlignment="1" applyProtection="1">
      <alignment horizontal="left" vertical="center" wrapText="1"/>
    </xf>
    <xf numFmtId="0" fontId="51" fillId="4" borderId="36" xfId="0" applyFont="1" applyFill="1" applyBorder="1" applyAlignment="1" applyProtection="1">
      <alignment horizontal="center" vertical="center"/>
      <protection locked="0"/>
    </xf>
    <xf numFmtId="0" fontId="51" fillId="4" borderId="37" xfId="0" applyFont="1" applyFill="1" applyBorder="1" applyAlignment="1" applyProtection="1">
      <alignment horizontal="center" vertical="center"/>
      <protection locked="0"/>
    </xf>
    <xf numFmtId="0" fontId="51" fillId="4" borderId="38" xfId="0" applyFont="1" applyFill="1" applyBorder="1" applyAlignment="1" applyProtection="1">
      <alignment horizontal="center" vertical="center"/>
      <protection locked="0"/>
    </xf>
    <xf numFmtId="0" fontId="51" fillId="4" borderId="22" xfId="0" applyFont="1" applyFill="1" applyBorder="1" applyAlignment="1" applyProtection="1">
      <alignment horizontal="center" vertical="center"/>
      <protection locked="0"/>
    </xf>
    <xf numFmtId="0" fontId="51" fillId="4" borderId="23" xfId="0" applyFont="1" applyFill="1" applyBorder="1" applyAlignment="1" applyProtection="1">
      <alignment horizontal="center" vertical="center"/>
      <protection locked="0"/>
    </xf>
    <xf numFmtId="0" fontId="51" fillId="4" borderId="24" xfId="0" applyFont="1" applyFill="1" applyBorder="1" applyAlignment="1" applyProtection="1">
      <alignment horizontal="center" vertical="center"/>
      <protection locked="0"/>
    </xf>
    <xf numFmtId="0" fontId="51" fillId="4" borderId="18" xfId="0" applyFont="1" applyFill="1" applyBorder="1" applyAlignment="1" applyProtection="1">
      <alignment horizontal="center" vertical="center"/>
      <protection locked="0"/>
    </xf>
    <xf numFmtId="0" fontId="2" fillId="2" borderId="32" xfId="0" applyFont="1" applyFill="1" applyBorder="1" applyAlignment="1" applyProtection="1">
      <alignment horizontal="left" vertical="center" wrapText="1"/>
    </xf>
    <xf numFmtId="0" fontId="2" fillId="2" borderId="33" xfId="0" applyFont="1" applyFill="1" applyBorder="1" applyAlignment="1" applyProtection="1">
      <alignment horizontal="left" vertical="center" wrapText="1"/>
    </xf>
    <xf numFmtId="0" fontId="2" fillId="2" borderId="51" xfId="0" applyFont="1" applyFill="1" applyBorder="1" applyAlignment="1" applyProtection="1">
      <alignment horizontal="left" vertical="center" wrapText="1"/>
    </xf>
    <xf numFmtId="0" fontId="51" fillId="0" borderId="52" xfId="0" applyFont="1" applyBorder="1" applyAlignment="1" applyProtection="1">
      <alignment horizontal="center" vertical="center"/>
      <protection locked="0"/>
    </xf>
    <xf numFmtId="0" fontId="51" fillId="0" borderId="53" xfId="0" applyFont="1" applyBorder="1" applyAlignment="1" applyProtection="1">
      <alignment horizontal="center" vertical="center"/>
      <protection locked="0"/>
    </xf>
    <xf numFmtId="0" fontId="51" fillId="0" borderId="54" xfId="0" applyFont="1" applyBorder="1" applyAlignment="1" applyProtection="1">
      <alignment horizontal="center" vertical="center"/>
      <protection locked="0"/>
    </xf>
    <xf numFmtId="0" fontId="51" fillId="0" borderId="32" xfId="0" applyFont="1" applyBorder="1" applyAlignment="1" applyProtection="1">
      <alignment horizontal="center" vertical="center" wrapText="1"/>
      <protection locked="0"/>
    </xf>
    <xf numFmtId="0" fontId="51" fillId="0" borderId="33" xfId="0" applyFont="1" applyBorder="1" applyAlignment="1" applyProtection="1">
      <alignment horizontal="center" vertical="center" wrapText="1"/>
      <protection locked="0"/>
    </xf>
    <xf numFmtId="0" fontId="51" fillId="0" borderId="34" xfId="0" applyFont="1" applyBorder="1" applyAlignment="1" applyProtection="1">
      <alignment horizontal="center" vertical="center" wrapText="1"/>
      <protection locked="0"/>
    </xf>
    <xf numFmtId="0" fontId="51" fillId="0" borderId="33" xfId="0" applyFont="1" applyBorder="1" applyAlignment="1" applyProtection="1">
      <alignment horizontal="center" vertical="center"/>
      <protection locked="0"/>
    </xf>
    <xf numFmtId="0" fontId="51" fillId="0" borderId="34" xfId="0" applyFont="1" applyBorder="1" applyAlignment="1" applyProtection="1">
      <alignment horizontal="center" vertical="center"/>
      <protection locked="0"/>
    </xf>
    <xf numFmtId="14" fontId="51" fillId="0" borderId="19" xfId="0" applyNumberFormat="1" applyFont="1" applyBorder="1" applyAlignment="1" applyProtection="1">
      <alignment horizontal="center" vertical="center"/>
      <protection locked="0"/>
    </xf>
    <xf numFmtId="14" fontId="51" fillId="0" borderId="20" xfId="0" applyNumberFormat="1" applyFont="1" applyBorder="1" applyAlignment="1" applyProtection="1">
      <alignment horizontal="center" vertical="center"/>
      <protection locked="0"/>
    </xf>
    <xf numFmtId="14" fontId="51" fillId="0" borderId="21" xfId="0" applyNumberFormat="1" applyFont="1" applyBorder="1" applyAlignment="1" applyProtection="1">
      <alignment horizontal="center" vertical="center"/>
      <protection locked="0"/>
    </xf>
    <xf numFmtId="14" fontId="51" fillId="0" borderId="17" xfId="0" applyNumberFormat="1" applyFont="1" applyBorder="1" applyAlignment="1" applyProtection="1">
      <alignment horizontal="center" vertical="center"/>
      <protection locked="0"/>
    </xf>
    <xf numFmtId="0" fontId="2" fillId="3" borderId="2" xfId="0" applyFont="1" applyFill="1" applyBorder="1" applyAlignment="1">
      <alignment horizontal="center" vertical="center"/>
    </xf>
    <xf numFmtId="0" fontId="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2" borderId="2" xfId="0" applyFont="1" applyFill="1" applyBorder="1" applyAlignment="1" applyProtection="1">
      <alignment horizontal="left" vertical="center" wrapText="1" indent="1"/>
    </xf>
    <xf numFmtId="0" fontId="2" fillId="2" borderId="3" xfId="0" applyFont="1" applyFill="1" applyBorder="1" applyAlignment="1" applyProtection="1">
      <alignment horizontal="left" vertical="center" wrapText="1" indent="1"/>
    </xf>
    <xf numFmtId="0" fontId="2" fillId="2" borderId="4" xfId="0" applyFont="1" applyFill="1" applyBorder="1" applyAlignment="1" applyProtection="1">
      <alignment horizontal="left" vertical="center" wrapText="1" indent="1"/>
    </xf>
    <xf numFmtId="0" fontId="51" fillId="9" borderId="2" xfId="0" applyFont="1" applyFill="1" applyBorder="1" applyAlignment="1" applyProtection="1">
      <alignment horizontal="center" vertical="center" wrapText="1"/>
      <protection locked="0"/>
    </xf>
    <xf numFmtId="0" fontId="51" fillId="9" borderId="3" xfId="0" applyFont="1" applyFill="1" applyBorder="1" applyAlignment="1" applyProtection="1">
      <alignment horizontal="center" vertical="center" wrapText="1"/>
      <protection locked="0"/>
    </xf>
    <xf numFmtId="0" fontId="51" fillId="9" borderId="4" xfId="0" applyFont="1" applyFill="1" applyBorder="1" applyAlignment="1" applyProtection="1">
      <alignment horizontal="center" vertical="center" wrapText="1"/>
      <protection locked="0"/>
    </xf>
    <xf numFmtId="0" fontId="2" fillId="2" borderId="49" xfId="0" applyFont="1" applyFill="1" applyBorder="1" applyAlignment="1" applyProtection="1">
      <alignment horizontal="left" vertical="center" wrapText="1" indent="1"/>
    </xf>
    <xf numFmtId="0" fontId="2" fillId="2" borderId="42" xfId="0" applyFont="1" applyFill="1" applyBorder="1" applyAlignment="1" applyProtection="1">
      <alignment horizontal="left" vertical="center" wrapText="1" indent="1"/>
    </xf>
    <xf numFmtId="0" fontId="2" fillId="0" borderId="42" xfId="0" applyFont="1" applyBorder="1" applyAlignment="1" applyProtection="1">
      <alignment horizontal="center" vertical="center" wrapText="1"/>
    </xf>
    <xf numFmtId="0" fontId="2" fillId="0" borderId="17" xfId="0" applyFont="1" applyBorder="1" applyAlignment="1" applyProtection="1">
      <alignment horizontal="center" vertical="center" wrapText="1"/>
    </xf>
    <xf numFmtId="0" fontId="51" fillId="0" borderId="49" xfId="0" applyFont="1" applyBorder="1" applyAlignment="1" applyProtection="1">
      <alignment horizontal="center" vertical="center" wrapText="1"/>
      <protection locked="0"/>
    </xf>
    <xf numFmtId="0" fontId="51" fillId="0" borderId="42" xfId="0" applyFont="1" applyBorder="1" applyAlignment="1" applyProtection="1">
      <alignment horizontal="center" vertical="center" wrapText="1"/>
      <protection locked="0"/>
    </xf>
    <xf numFmtId="0" fontId="51" fillId="0" borderId="43" xfId="0" applyFont="1" applyBorder="1" applyAlignment="1" applyProtection="1">
      <alignment horizontal="center" vertical="center" wrapText="1"/>
      <protection locked="0"/>
    </xf>
    <xf numFmtId="0" fontId="51" fillId="0" borderId="19" xfId="0" applyFont="1" applyBorder="1" applyAlignment="1" applyProtection="1">
      <alignment horizontal="center" vertical="center" wrapText="1"/>
      <protection locked="0"/>
    </xf>
    <xf numFmtId="0" fontId="51" fillId="0" borderId="20" xfId="0" applyFont="1" applyBorder="1" applyAlignment="1" applyProtection="1">
      <alignment horizontal="center" vertical="center" wrapText="1"/>
      <protection locked="0"/>
    </xf>
    <xf numFmtId="0" fontId="51" fillId="0" borderId="21" xfId="0" applyFont="1" applyBorder="1" applyAlignment="1" applyProtection="1">
      <alignment horizontal="center" vertical="center" wrapText="1"/>
      <protection locked="0"/>
    </xf>
    <xf numFmtId="0" fontId="2" fillId="2" borderId="36" xfId="0" applyFont="1" applyFill="1" applyBorder="1" applyAlignment="1" applyProtection="1">
      <alignment horizontal="left" vertical="center" wrapText="1" indent="1"/>
    </xf>
    <xf numFmtId="0" fontId="2" fillId="2" borderId="37" xfId="0" applyFont="1" applyFill="1" applyBorder="1" applyAlignment="1" applyProtection="1">
      <alignment horizontal="left" vertical="center" wrapText="1" indent="1"/>
    </xf>
    <xf numFmtId="0" fontId="2" fillId="0" borderId="37" xfId="0" applyFont="1" applyBorder="1" applyAlignment="1" applyProtection="1">
      <alignment horizontal="center" vertical="center" wrapText="1"/>
    </xf>
    <xf numFmtId="0" fontId="2" fillId="0" borderId="18" xfId="0" applyFont="1" applyBorder="1" applyAlignment="1" applyProtection="1">
      <alignment horizontal="center" vertical="center" wrapText="1"/>
    </xf>
    <xf numFmtId="0" fontId="51" fillId="0" borderId="36" xfId="0" applyFont="1" applyBorder="1" applyAlignment="1" applyProtection="1">
      <alignment horizontal="center" vertical="center" wrapText="1"/>
      <protection locked="0"/>
    </xf>
    <xf numFmtId="0" fontId="51" fillId="0" borderId="37" xfId="0" applyFont="1" applyBorder="1" applyAlignment="1" applyProtection="1">
      <alignment horizontal="center" vertical="center" wrapText="1"/>
      <protection locked="0"/>
    </xf>
    <xf numFmtId="0" fontId="51" fillId="0" borderId="38" xfId="0" applyFont="1" applyBorder="1" applyAlignment="1" applyProtection="1">
      <alignment horizontal="center" vertical="center" wrapText="1"/>
      <protection locked="0"/>
    </xf>
    <xf numFmtId="0" fontId="51" fillId="0" borderId="19" xfId="0" applyFont="1" applyBorder="1" applyAlignment="1" applyProtection="1">
      <alignment horizontal="right" vertical="center" wrapText="1"/>
      <protection locked="0"/>
    </xf>
    <xf numFmtId="0" fontId="51" fillId="0" borderId="20" xfId="0" applyFont="1" applyBorder="1" applyAlignment="1" applyProtection="1">
      <alignment horizontal="right" vertical="center" wrapText="1"/>
      <protection locked="0"/>
    </xf>
    <xf numFmtId="0" fontId="51" fillId="0" borderId="20" xfId="0" applyFont="1" applyBorder="1" applyAlignment="1" applyProtection="1">
      <alignment horizontal="left" vertical="center" wrapText="1"/>
      <protection locked="0"/>
    </xf>
    <xf numFmtId="0" fontId="51" fillId="0" borderId="21" xfId="0" applyFont="1" applyBorder="1" applyAlignment="1" applyProtection="1">
      <alignment horizontal="left" vertical="center" wrapText="1"/>
      <protection locked="0"/>
    </xf>
    <xf numFmtId="0" fontId="26" fillId="0" borderId="2" xfId="0" applyFont="1" applyBorder="1" applyAlignment="1">
      <alignment horizontal="center" vertical="center" wrapText="1"/>
    </xf>
    <xf numFmtId="0" fontId="26" fillId="0" borderId="3" xfId="0" applyFont="1" applyBorder="1" applyAlignment="1">
      <alignment horizontal="center" vertical="center" wrapText="1"/>
    </xf>
    <xf numFmtId="0" fontId="26" fillId="0" borderId="4" xfId="0" applyFont="1" applyBorder="1" applyAlignment="1">
      <alignment horizontal="center" vertical="center" wrapText="1"/>
    </xf>
    <xf numFmtId="0" fontId="26" fillId="0" borderId="2" xfId="0" applyFont="1" applyBorder="1" applyAlignment="1">
      <alignment horizontal="right" vertical="center"/>
    </xf>
    <xf numFmtId="0" fontId="26" fillId="0" borderId="3" xfId="0" applyFont="1" applyBorder="1" applyAlignment="1">
      <alignment horizontal="right" vertical="center"/>
    </xf>
    <xf numFmtId="4" fontId="26" fillId="0" borderId="3" xfId="0" applyNumberFormat="1" applyFont="1" applyBorder="1" applyAlignment="1">
      <alignment vertical="center"/>
    </xf>
    <xf numFmtId="4" fontId="26" fillId="0" borderId="4" xfId="0" applyNumberFormat="1" applyFont="1" applyBorder="1" applyAlignment="1">
      <alignment vertical="center"/>
    </xf>
    <xf numFmtId="0" fontId="2" fillId="2" borderId="46" xfId="0" applyFont="1" applyFill="1" applyBorder="1" applyAlignment="1" applyProtection="1">
      <alignment horizontal="left" vertical="center" wrapText="1" indent="1"/>
    </xf>
    <xf numFmtId="0" fontId="2" fillId="2" borderId="40" xfId="0" applyFont="1" applyFill="1" applyBorder="1" applyAlignment="1" applyProtection="1">
      <alignment horizontal="left" vertical="center" wrapText="1" indent="1"/>
    </xf>
    <xf numFmtId="0" fontId="2" fillId="0" borderId="40" xfId="0" applyFont="1" applyBorder="1" applyAlignment="1" applyProtection="1">
      <alignment horizontal="center" vertical="center" wrapText="1"/>
    </xf>
    <xf numFmtId="0" fontId="2" fillId="0" borderId="47" xfId="0" applyFont="1" applyBorder="1" applyAlignment="1" applyProtection="1">
      <alignment horizontal="center" vertical="center" wrapText="1"/>
    </xf>
    <xf numFmtId="0" fontId="51" fillId="0" borderId="46" xfId="0" applyFont="1" applyBorder="1" applyAlignment="1" applyProtection="1">
      <alignment horizontal="center" vertical="center" wrapText="1"/>
      <protection locked="0"/>
    </xf>
    <xf numFmtId="0" fontId="51" fillId="0" borderId="40" xfId="0" applyFont="1" applyBorder="1" applyAlignment="1" applyProtection="1">
      <alignment horizontal="center" vertical="center" wrapText="1"/>
      <protection locked="0"/>
    </xf>
    <xf numFmtId="0" fontId="51" fillId="0" borderId="41" xfId="0" applyFont="1" applyBorder="1" applyAlignment="1" applyProtection="1">
      <alignment horizontal="center" vertical="center" wrapText="1"/>
      <protection locked="0"/>
    </xf>
    <xf numFmtId="0" fontId="51" fillId="0" borderId="44" xfId="0" applyFont="1" applyBorder="1" applyAlignment="1" applyProtection="1">
      <alignment horizontal="center" vertical="center" wrapText="1"/>
      <protection locked="0"/>
    </xf>
    <xf numFmtId="0" fontId="51" fillId="0" borderId="6" xfId="0" applyFont="1" applyBorder="1" applyAlignment="1" applyProtection="1">
      <alignment horizontal="center" vertical="center" wrapText="1"/>
      <protection locked="0"/>
    </xf>
    <xf numFmtId="0" fontId="51" fillId="0" borderId="48" xfId="0" applyFont="1" applyBorder="1" applyAlignment="1" applyProtection="1">
      <alignment horizontal="center" vertical="center" wrapText="1"/>
      <protection locked="0"/>
    </xf>
    <xf numFmtId="0" fontId="26" fillId="0" borderId="3" xfId="0" applyFont="1" applyBorder="1" applyAlignment="1">
      <alignment horizontal="center" vertical="center"/>
    </xf>
    <xf numFmtId="0" fontId="26" fillId="0" borderId="4" xfId="0" applyFont="1" applyBorder="1" applyAlignment="1">
      <alignment horizontal="center" vertical="center"/>
    </xf>
    <xf numFmtId="4" fontId="51" fillId="0" borderId="17" xfId="0" applyNumberFormat="1" applyFont="1" applyBorder="1" applyAlignment="1">
      <alignment horizontal="center" vertical="center"/>
    </xf>
    <xf numFmtId="4" fontId="51" fillId="0" borderId="20" xfId="0" applyNumberFormat="1" applyFont="1" applyBorder="1" applyAlignment="1">
      <alignment horizontal="center" vertical="center"/>
    </xf>
    <xf numFmtId="4" fontId="51" fillId="0" borderId="45" xfId="0" applyNumberFormat="1" applyFont="1" applyBorder="1" applyAlignment="1">
      <alignment horizontal="center" vertical="center"/>
    </xf>
    <xf numFmtId="4" fontId="51" fillId="0" borderId="19" xfId="0" applyNumberFormat="1" applyFont="1" applyBorder="1" applyAlignment="1">
      <alignment horizontal="center" vertical="center"/>
    </xf>
    <xf numFmtId="4" fontId="51" fillId="0" borderId="42" xfId="0" applyNumberFormat="1" applyFont="1" applyBorder="1" applyAlignment="1">
      <alignment horizontal="center" vertical="center"/>
    </xf>
    <xf numFmtId="4" fontId="51" fillId="0" borderId="21" xfId="0" applyNumberFormat="1" applyFont="1" applyBorder="1" applyAlignment="1">
      <alignment horizontal="center" vertical="center"/>
    </xf>
    <xf numFmtId="0" fontId="7" fillId="0" borderId="2" xfId="0" applyFont="1" applyBorder="1" applyAlignment="1">
      <alignment horizontal="left" vertical="center" wrapText="1" indent="1"/>
    </xf>
    <xf numFmtId="0" fontId="7" fillId="0" borderId="3" xfId="0" applyFont="1" applyBorder="1" applyAlignment="1">
      <alignment horizontal="left" vertical="center" wrapText="1" indent="1"/>
    </xf>
    <xf numFmtId="0" fontId="7" fillId="0" borderId="4" xfId="0" applyFont="1" applyBorder="1" applyAlignment="1">
      <alignment horizontal="left" vertical="center" wrapText="1" indent="1"/>
    </xf>
    <xf numFmtId="0" fontId="51" fillId="0" borderId="42" xfId="0" applyFont="1" applyBorder="1" applyAlignment="1">
      <alignment horizontal="center" vertical="center"/>
    </xf>
    <xf numFmtId="0" fontId="3" fillId="0" borderId="39" xfId="0" applyFont="1" applyBorder="1" applyAlignment="1">
      <alignment horizontal="center" vertical="center" wrapText="1"/>
    </xf>
    <xf numFmtId="0" fontId="3" fillId="0" borderId="40" xfId="0" applyFont="1" applyBorder="1" applyAlignment="1">
      <alignment horizontal="center" vertical="center" wrapText="1"/>
    </xf>
    <xf numFmtId="0" fontId="3" fillId="0" borderId="47" xfId="0" applyFont="1" applyBorder="1" applyAlignment="1">
      <alignment horizontal="center" vertical="center" wrapText="1"/>
    </xf>
    <xf numFmtId="4" fontId="51" fillId="0" borderId="43" xfId="0" applyNumberFormat="1" applyFont="1" applyBorder="1" applyAlignment="1">
      <alignment horizontal="center" vertical="center"/>
    </xf>
    <xf numFmtId="4" fontId="51" fillId="0" borderId="44" xfId="0" applyNumberFormat="1" applyFont="1" applyBorder="1" applyAlignment="1">
      <alignment horizontal="center" vertical="center"/>
    </xf>
    <xf numFmtId="4" fontId="51" fillId="0" borderId="6" xfId="0" applyNumberFormat="1" applyFont="1" applyBorder="1" applyAlignment="1">
      <alignment horizontal="center" vertical="center"/>
    </xf>
    <xf numFmtId="4" fontId="51" fillId="0" borderId="39" xfId="0" applyNumberFormat="1" applyFont="1" applyBorder="1" applyAlignment="1">
      <alignment horizontal="center" vertical="center"/>
    </xf>
    <xf numFmtId="4" fontId="51" fillId="0" borderId="32" xfId="0" applyNumberFormat="1" applyFont="1" applyBorder="1" applyAlignment="1">
      <alignment horizontal="center" vertical="center"/>
    </xf>
    <xf numFmtId="4" fontId="51" fillId="0" borderId="33" xfId="0" applyNumberFormat="1" applyFont="1" applyBorder="1" applyAlignment="1">
      <alignment horizontal="center" vertical="center"/>
    </xf>
    <xf numFmtId="0" fontId="2" fillId="3" borderId="35" xfId="0" applyFont="1" applyFill="1" applyBorder="1" applyAlignment="1">
      <alignment horizontal="center" vertical="center" wrapText="1"/>
    </xf>
    <xf numFmtId="0" fontId="2" fillId="3" borderId="30" xfId="0" applyFont="1" applyFill="1" applyBorder="1" applyAlignment="1">
      <alignment horizontal="center" vertical="center" wrapText="1"/>
    </xf>
    <xf numFmtId="0" fontId="2" fillId="3" borderId="16" xfId="0" applyFont="1" applyFill="1" applyBorder="1" applyAlignment="1">
      <alignment horizontal="center" vertical="center" wrapText="1"/>
    </xf>
    <xf numFmtId="0" fontId="2" fillId="3" borderId="31" xfId="0" applyFont="1" applyFill="1" applyBorder="1" applyAlignment="1">
      <alignment horizontal="center" vertical="center" wrapText="1"/>
    </xf>
    <xf numFmtId="0" fontId="1" fillId="0" borderId="20" xfId="0" applyFont="1" applyBorder="1" applyAlignment="1">
      <alignment horizontal="center" vertical="center"/>
    </xf>
    <xf numFmtId="0" fontId="2" fillId="3" borderId="32" xfId="0" applyFont="1" applyFill="1" applyBorder="1" applyAlignment="1">
      <alignment horizontal="center" vertical="center"/>
    </xf>
    <xf numFmtId="0" fontId="2" fillId="3" borderId="36" xfId="0" applyFont="1" applyFill="1" applyBorder="1" applyAlignment="1">
      <alignment horizontal="center" vertical="center"/>
    </xf>
    <xf numFmtId="0" fontId="26" fillId="3" borderId="33" xfId="0" applyFont="1" applyFill="1" applyBorder="1" applyAlignment="1">
      <alignment horizontal="center" vertical="center"/>
    </xf>
    <xf numFmtId="0" fontId="26" fillId="3" borderId="37" xfId="0" applyFont="1" applyFill="1" applyBorder="1" applyAlignment="1">
      <alignment horizontal="center" vertical="center"/>
    </xf>
    <xf numFmtId="0" fontId="2" fillId="3" borderId="33"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33" xfId="0" applyFont="1" applyFill="1" applyBorder="1" applyAlignment="1">
      <alignment horizontal="center" vertical="center" wrapText="1"/>
    </xf>
    <xf numFmtId="0" fontId="2" fillId="3" borderId="37" xfId="0" applyFont="1" applyFill="1" applyBorder="1" applyAlignment="1">
      <alignment horizontal="center" vertical="center" wrapText="1"/>
    </xf>
    <xf numFmtId="0" fontId="2" fillId="3" borderId="34" xfId="0" applyFont="1" applyFill="1" applyBorder="1" applyAlignment="1">
      <alignment horizontal="center" vertical="center"/>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4" xfId="0" applyFont="1" applyBorder="1" applyAlignment="1">
      <alignment horizontal="center" vertical="center" wrapText="1"/>
    </xf>
    <xf numFmtId="0" fontId="2" fillId="3" borderId="38" xfId="0" applyFont="1" applyFill="1" applyBorder="1" applyAlignment="1">
      <alignment horizontal="center" vertical="center" wrapText="1"/>
    </xf>
    <xf numFmtId="0" fontId="5" fillId="0" borderId="27" xfId="0" applyFont="1" applyBorder="1" applyAlignment="1">
      <alignment horizontal="center" vertical="center"/>
    </xf>
    <xf numFmtId="0" fontId="5" fillId="0" borderId="28" xfId="0" applyFont="1" applyBorder="1" applyAlignment="1">
      <alignment horizontal="center" vertical="center"/>
    </xf>
    <xf numFmtId="0" fontId="0" fillId="0" borderId="28" xfId="0" applyFont="1" applyBorder="1" applyAlignment="1">
      <alignment horizontal="center" vertical="center"/>
    </xf>
    <xf numFmtId="0" fontId="4" fillId="0" borderId="28" xfId="0" applyFont="1" applyBorder="1" applyAlignment="1">
      <alignment horizontal="center" vertical="center"/>
    </xf>
    <xf numFmtId="0" fontId="4" fillId="0" borderId="29" xfId="0" applyFont="1" applyBorder="1" applyAlignment="1">
      <alignment horizontal="center" vertical="center"/>
    </xf>
    <xf numFmtId="0" fontId="5" fillId="0" borderId="0" xfId="0" applyFont="1" applyBorder="1" applyAlignment="1">
      <alignment horizontal="center" vertical="center"/>
    </xf>
    <xf numFmtId="0" fontId="9" fillId="0" borderId="0" xfId="0" applyFont="1" applyAlignment="1">
      <alignment horizontal="center" vertical="center"/>
    </xf>
    <xf numFmtId="0" fontId="23" fillId="0" borderId="0" xfId="0" applyFont="1" applyAlignment="1">
      <alignment horizontal="left" vertical="center"/>
    </xf>
    <xf numFmtId="0" fontId="10" fillId="0" borderId="30" xfId="0" applyFont="1" applyBorder="1" applyAlignment="1">
      <alignment horizontal="center" vertical="center" wrapText="1"/>
    </xf>
    <xf numFmtId="0" fontId="10" fillId="0" borderId="3" xfId="0" applyFont="1" applyBorder="1" applyAlignment="1">
      <alignment horizontal="center" vertical="center" wrapText="1"/>
    </xf>
    <xf numFmtId="0" fontId="10" fillId="0" borderId="4" xfId="0" applyFont="1" applyBorder="1" applyAlignment="1">
      <alignment horizontal="center" vertical="center" wrapText="1"/>
    </xf>
    <xf numFmtId="0" fontId="0" fillId="0" borderId="1" xfId="0" applyBorder="1" applyAlignment="1">
      <alignment horizontal="center" vertical="center"/>
    </xf>
    <xf numFmtId="0" fontId="5" fillId="0" borderId="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8" fillId="0" borderId="2" xfId="0" applyFont="1" applyBorder="1" applyAlignment="1">
      <alignment horizontal="left" vertical="center"/>
    </xf>
    <xf numFmtId="0" fontId="8" fillId="0" borderId="3" xfId="0" applyFont="1" applyBorder="1" applyAlignment="1">
      <alignment horizontal="left" vertical="center"/>
    </xf>
    <xf numFmtId="0" fontId="7" fillId="0" borderId="3" xfId="0" applyFont="1" applyBorder="1" applyAlignment="1">
      <alignment horizontal="left" vertical="center"/>
    </xf>
    <xf numFmtId="0" fontId="7" fillId="0" borderId="4" xfId="0" applyFont="1" applyBorder="1" applyAlignment="1">
      <alignment horizontal="left" vertical="center"/>
    </xf>
    <xf numFmtId="0" fontId="5" fillId="0" borderId="10" xfId="0" applyFont="1" applyBorder="1" applyAlignment="1">
      <alignment horizontal="center" vertical="center"/>
    </xf>
    <xf numFmtId="0" fontId="5" fillId="0" borderId="11" xfId="0" applyFont="1" applyBorder="1" applyAlignment="1">
      <alignment horizontal="center" vertical="center"/>
    </xf>
    <xf numFmtId="0" fontId="5" fillId="0" borderId="12" xfId="0" applyFont="1" applyBorder="1" applyAlignment="1">
      <alignment horizontal="center" vertical="center"/>
    </xf>
    <xf numFmtId="0" fontId="5" fillId="0" borderId="5" xfId="0" applyFont="1" applyBorder="1" applyAlignment="1">
      <alignment horizontal="center" vertical="center"/>
    </xf>
    <xf numFmtId="0" fontId="5" fillId="0" borderId="13" xfId="0" applyFont="1" applyBorder="1" applyAlignment="1">
      <alignment horizontal="center" vertical="center"/>
    </xf>
    <xf numFmtId="0" fontId="7" fillId="0" borderId="3" xfId="0" quotePrefix="1" applyFont="1" applyBorder="1" applyAlignment="1">
      <alignment horizontal="left" vertical="center"/>
    </xf>
    <xf numFmtId="165" fontId="7" fillId="0" borderId="3" xfId="0" applyNumberFormat="1" applyFont="1" applyBorder="1" applyAlignment="1">
      <alignment horizontal="left" vertical="center"/>
    </xf>
    <xf numFmtId="165" fontId="7" fillId="0" borderId="4" xfId="0" applyNumberFormat="1" applyFont="1" applyBorder="1" applyAlignment="1">
      <alignment horizontal="left" vertical="center"/>
    </xf>
    <xf numFmtId="0" fontId="4" fillId="7" borderId="80" xfId="0" applyFont="1" applyFill="1" applyBorder="1" applyAlignment="1" applyProtection="1">
      <alignment horizontal="left" vertical="center" indent="1"/>
    </xf>
    <xf numFmtId="0" fontId="4" fillId="7" borderId="3" xfId="0" applyFont="1" applyFill="1" applyBorder="1" applyAlignment="1" applyProtection="1">
      <alignment horizontal="left" vertical="center" indent="1"/>
    </xf>
    <xf numFmtId="0" fontId="4" fillId="7" borderId="4" xfId="0" applyFont="1" applyFill="1" applyBorder="1" applyAlignment="1" applyProtection="1">
      <alignment horizontal="left" vertical="center" indent="1"/>
    </xf>
    <xf numFmtId="0" fontId="49" fillId="0" borderId="2" xfId="0" applyFont="1" applyFill="1" applyBorder="1" applyAlignment="1" applyProtection="1">
      <alignment horizontal="left" vertical="center" wrapText="1" indent="1"/>
      <protection locked="0"/>
    </xf>
    <xf numFmtId="0" fontId="49" fillId="0" borderId="3" xfId="0" applyFont="1" applyFill="1" applyBorder="1" applyAlignment="1" applyProtection="1">
      <alignment horizontal="left" vertical="center" wrapText="1" indent="1"/>
      <protection locked="0"/>
    </xf>
    <xf numFmtId="0" fontId="49" fillId="0" borderId="82" xfId="0" applyFont="1" applyFill="1" applyBorder="1" applyAlignment="1" applyProtection="1">
      <alignment horizontal="left" vertical="center" wrapText="1" indent="1"/>
      <protection locked="0"/>
    </xf>
    <xf numFmtId="0" fontId="44" fillId="0" borderId="99" xfId="0" applyFont="1" applyFill="1" applyBorder="1" applyAlignment="1" applyProtection="1">
      <alignment horizontal="left" vertical="center"/>
    </xf>
    <xf numFmtId="0" fontId="44" fillId="0" borderId="100" xfId="0" applyFont="1" applyFill="1" applyBorder="1" applyAlignment="1" applyProtection="1">
      <alignment horizontal="left" vertical="center"/>
    </xf>
    <xf numFmtId="0" fontId="44" fillId="0" borderId="14" xfId="0" applyFont="1" applyFill="1" applyBorder="1" applyAlignment="1" applyProtection="1">
      <alignment horizontal="left" vertical="center"/>
    </xf>
    <xf numFmtId="0" fontId="45" fillId="0" borderId="7" xfId="0" applyFont="1" applyBorder="1" applyAlignment="1" applyProtection="1">
      <alignment horizontal="right" vertical="center" indent="1"/>
    </xf>
    <xf numFmtId="0" fontId="45" fillId="0" borderId="83" xfId="0" applyFont="1" applyBorder="1" applyAlignment="1" applyProtection="1">
      <alignment horizontal="right" vertical="center" indent="1"/>
    </xf>
    <xf numFmtId="0" fontId="45" fillId="0" borderId="12" xfId="0" applyFont="1" applyBorder="1" applyAlignment="1" applyProtection="1">
      <alignment horizontal="right" vertical="center" indent="1"/>
    </xf>
    <xf numFmtId="0" fontId="45" fillId="0" borderId="97" xfId="0" applyFont="1" applyBorder="1" applyAlignment="1" applyProtection="1">
      <alignment horizontal="right" vertical="center" indent="1"/>
    </xf>
    <xf numFmtId="0" fontId="45" fillId="0" borderId="2" xfId="0" applyFont="1" applyBorder="1" applyAlignment="1" applyProtection="1">
      <alignment horizontal="right" vertical="center" indent="1"/>
    </xf>
    <xf numFmtId="0" fontId="45" fillId="0" borderId="82" xfId="0" applyFont="1" applyBorder="1" applyAlignment="1" applyProtection="1">
      <alignment horizontal="right" vertical="center" indent="1"/>
    </xf>
    <xf numFmtId="0" fontId="44" fillId="7" borderId="80" xfId="0" applyFont="1" applyFill="1" applyBorder="1" applyAlignment="1" applyProtection="1">
      <alignment horizontal="left" vertical="center" indent="1"/>
    </xf>
    <xf numFmtId="0" fontId="44" fillId="7" borderId="3" xfId="0" applyFont="1" applyFill="1" applyBorder="1" applyAlignment="1" applyProtection="1">
      <alignment horizontal="left" vertical="center" indent="1"/>
    </xf>
    <xf numFmtId="0" fontId="44" fillId="7" borderId="4" xfId="0" applyFont="1" applyFill="1" applyBorder="1" applyAlignment="1" applyProtection="1">
      <alignment horizontal="left" vertical="center" indent="1"/>
    </xf>
    <xf numFmtId="0" fontId="37" fillId="7" borderId="80" xfId="0" applyFont="1" applyFill="1" applyBorder="1" applyAlignment="1" applyProtection="1">
      <alignment horizontal="left" vertical="center" indent="1"/>
    </xf>
    <xf numFmtId="0" fontId="37" fillId="7" borderId="3" xfId="0" applyFont="1" applyFill="1" applyBorder="1" applyAlignment="1" applyProtection="1">
      <alignment horizontal="left" vertical="center" indent="1"/>
    </xf>
    <xf numFmtId="0" fontId="37" fillId="7" borderId="4" xfId="0" applyFont="1" applyFill="1" applyBorder="1" applyAlignment="1" applyProtection="1">
      <alignment horizontal="left" vertical="center" indent="1"/>
    </xf>
    <xf numFmtId="0" fontId="38" fillId="0" borderId="67" xfId="3" applyFill="1" applyBorder="1" applyAlignment="1" applyProtection="1">
      <alignment horizontal="left" vertical="center" indent="1"/>
      <protection locked="0"/>
    </xf>
    <xf numFmtId="0" fontId="39" fillId="0" borderId="67" xfId="2" applyFont="1" applyFill="1" applyBorder="1" applyAlignment="1" applyProtection="1">
      <alignment horizontal="left" vertical="center" indent="1"/>
      <protection locked="0"/>
    </xf>
    <xf numFmtId="0" fontId="39" fillId="0" borderId="81" xfId="2" applyFont="1" applyFill="1" applyBorder="1" applyAlignment="1" applyProtection="1">
      <alignment horizontal="left" vertical="center" indent="1"/>
      <protection locked="0"/>
    </xf>
    <xf numFmtId="0" fontId="30" fillId="0" borderId="68" xfId="0" applyFont="1" applyBorder="1" applyAlignment="1" applyProtection="1">
      <alignment horizontal="center"/>
      <protection locked="0"/>
    </xf>
    <xf numFmtId="0" fontId="30" fillId="0" borderId="69" xfId="0" applyFont="1" applyBorder="1" applyAlignment="1" applyProtection="1">
      <alignment horizontal="center"/>
      <protection locked="0"/>
    </xf>
    <xf numFmtId="49" fontId="33" fillId="0" borderId="73" xfId="0" applyNumberFormat="1" applyFont="1" applyFill="1" applyBorder="1" applyAlignment="1" applyProtection="1">
      <alignment horizontal="center"/>
      <protection locked="0"/>
    </xf>
    <xf numFmtId="49" fontId="33" fillId="0" borderId="74" xfId="0" applyNumberFormat="1" applyFont="1" applyFill="1" applyBorder="1" applyAlignment="1" applyProtection="1">
      <alignment horizontal="center"/>
      <protection locked="0"/>
    </xf>
    <xf numFmtId="14" fontId="30" fillId="0" borderId="68" xfId="0" applyNumberFormat="1" applyFont="1" applyFill="1" applyBorder="1" applyAlignment="1" applyProtection="1">
      <alignment horizontal="center" vertical="center"/>
      <protection locked="0"/>
    </xf>
    <xf numFmtId="14" fontId="30" fillId="0" borderId="70" xfId="0" applyNumberFormat="1" applyFont="1" applyFill="1" applyBorder="1" applyAlignment="1" applyProtection="1">
      <alignment horizontal="center" vertical="center"/>
      <protection locked="0"/>
    </xf>
    <xf numFmtId="0" fontId="37" fillId="7" borderId="75" xfId="0" applyFont="1" applyFill="1" applyBorder="1" applyAlignment="1" applyProtection="1">
      <alignment horizontal="left" vertical="center" indent="1"/>
    </xf>
    <xf numFmtId="0" fontId="37" fillId="7" borderId="76" xfId="0" applyFont="1" applyFill="1" applyBorder="1" applyAlignment="1" applyProtection="1">
      <alignment horizontal="left" vertical="center" indent="1"/>
    </xf>
    <xf numFmtId="0" fontId="37" fillId="7" borderId="77" xfId="0" applyFont="1" applyFill="1" applyBorder="1" applyAlignment="1" applyProtection="1">
      <alignment horizontal="left" vertical="center" indent="1"/>
    </xf>
    <xf numFmtId="0" fontId="37" fillId="0" borderId="78" xfId="0" applyFont="1" applyBorder="1" applyAlignment="1" applyProtection="1">
      <alignment horizontal="left" vertical="center" indent="1"/>
      <protection locked="0"/>
    </xf>
    <xf numFmtId="0" fontId="37" fillId="0" borderId="76" xfId="0" applyFont="1" applyBorder="1" applyAlignment="1" applyProtection="1">
      <alignment horizontal="left" vertical="center" indent="1"/>
      <protection locked="0"/>
    </xf>
    <xf numFmtId="0" fontId="37" fillId="0" borderId="79" xfId="0" applyFont="1" applyBorder="1" applyAlignment="1" applyProtection="1">
      <alignment horizontal="left" vertical="center" indent="1"/>
      <protection locked="0"/>
    </xf>
    <xf numFmtId="0" fontId="43" fillId="0" borderId="1" xfId="0" applyNumberFormat="1" applyFont="1" applyFill="1" applyBorder="1" applyAlignment="1" applyProtection="1">
      <alignment horizontal="left" vertical="center" wrapText="1" indent="1"/>
      <protection locked="0"/>
    </xf>
    <xf numFmtId="0" fontId="40" fillId="0" borderId="2" xfId="0" applyFont="1" applyBorder="1" applyAlignment="1" applyProtection="1">
      <alignment horizontal="left" vertical="center" wrapText="1" indent="1"/>
      <protection locked="0"/>
    </xf>
    <xf numFmtId="0" fontId="40" fillId="0" borderId="3" xfId="0" applyFont="1" applyBorder="1" applyAlignment="1" applyProtection="1">
      <alignment horizontal="left" vertical="center" indent="1"/>
      <protection locked="0"/>
    </xf>
    <xf numFmtId="0" fontId="40" fillId="0" borderId="82" xfId="0" applyFont="1" applyBorder="1" applyAlignment="1" applyProtection="1">
      <alignment horizontal="left" vertical="center" indent="1"/>
      <protection locked="0"/>
    </xf>
    <xf numFmtId="0" fontId="40" fillId="0" borderId="2" xfId="0" applyFont="1" applyFill="1" applyBorder="1" applyAlignment="1" applyProtection="1">
      <alignment horizontal="left" vertical="center" indent="1"/>
      <protection locked="0"/>
    </xf>
    <xf numFmtId="0" fontId="40" fillId="0" borderId="3" xfId="0" applyFont="1" applyFill="1" applyBorder="1" applyAlignment="1" applyProtection="1">
      <alignment horizontal="left" vertical="center" indent="1"/>
      <protection locked="0"/>
    </xf>
    <xf numFmtId="0" fontId="40" fillId="0" borderId="82" xfId="0" applyFont="1" applyFill="1" applyBorder="1" applyAlignment="1" applyProtection="1">
      <alignment horizontal="left" vertical="center" indent="1"/>
      <protection locked="0"/>
    </xf>
    <xf numFmtId="0" fontId="41" fillId="7" borderId="86" xfId="0" applyFont="1" applyFill="1" applyBorder="1" applyAlignment="1" applyProtection="1">
      <alignment horizontal="center" vertical="center"/>
    </xf>
    <xf numFmtId="0" fontId="41" fillId="7" borderId="87" xfId="0" applyFont="1" applyFill="1" applyBorder="1" applyAlignment="1" applyProtection="1">
      <alignment horizontal="center" vertical="center"/>
    </xf>
    <xf numFmtId="0" fontId="43" fillId="0" borderId="86" xfId="0" applyNumberFormat="1" applyFont="1" applyFill="1" applyBorder="1" applyAlignment="1" applyProtection="1">
      <alignment horizontal="left" vertical="center" wrapText="1" indent="1"/>
      <protection locked="0"/>
    </xf>
    <xf numFmtId="0" fontId="43" fillId="0" borderId="87" xfId="0" applyNumberFormat="1" applyFont="1" applyFill="1" applyBorder="1" applyAlignment="1" applyProtection="1">
      <alignment horizontal="left" vertical="center" wrapText="1" indent="1"/>
      <protection locked="0"/>
    </xf>
    <xf numFmtId="0" fontId="4" fillId="0" borderId="61" xfId="0" applyFont="1" applyFill="1" applyBorder="1" applyAlignment="1" applyProtection="1">
      <alignment horizontal="center" vertical="center" wrapText="1"/>
    </xf>
    <xf numFmtId="0" fontId="4" fillId="0" borderId="62" xfId="0" applyFont="1" applyFill="1" applyBorder="1" applyAlignment="1" applyProtection="1">
      <alignment horizontal="center" vertical="center" wrapText="1"/>
    </xf>
    <xf numFmtId="0" fontId="4" fillId="0" borderId="93" xfId="0" applyFont="1" applyFill="1" applyBorder="1" applyAlignment="1" applyProtection="1">
      <alignment horizontal="center" vertical="center" wrapText="1"/>
    </xf>
    <xf numFmtId="0" fontId="37" fillId="0" borderId="5" xfId="0" applyFont="1" applyFill="1" applyBorder="1" applyAlignment="1" applyProtection="1">
      <alignment horizontal="center" vertical="center"/>
    </xf>
    <xf numFmtId="0" fontId="37" fillId="0" borderId="97" xfId="0" applyFont="1" applyFill="1" applyBorder="1" applyAlignment="1" applyProtection="1">
      <alignment horizontal="center" vertical="center"/>
    </xf>
    <xf numFmtId="0" fontId="45" fillId="0" borderId="2" xfId="0" applyFont="1" applyBorder="1" applyAlignment="1" applyProtection="1">
      <alignment horizontal="right" vertical="center" indent="1"/>
      <protection locked="0"/>
    </xf>
    <xf numFmtId="0" fontId="45" fillId="0" borderId="82" xfId="0" applyFont="1" applyBorder="1" applyAlignment="1" applyProtection="1">
      <alignment horizontal="right" vertical="center" indent="1"/>
      <protection locked="0"/>
    </xf>
    <xf numFmtId="0" fontId="44" fillId="8" borderId="25" xfId="0" applyFont="1" applyFill="1" applyBorder="1" applyAlignment="1" applyProtection="1">
      <alignment horizontal="right" vertical="center"/>
    </xf>
    <xf numFmtId="0" fontId="44" fillId="8" borderId="26" xfId="0" applyFont="1" applyFill="1" applyBorder="1" applyAlignment="1" applyProtection="1">
      <alignment horizontal="right" vertical="center"/>
    </xf>
    <xf numFmtId="0" fontId="47" fillId="0" borderId="0" xfId="0" applyFont="1" applyAlignment="1">
      <alignment horizontal="center" vertical="center" wrapText="1"/>
    </xf>
    <xf numFmtId="0" fontId="4" fillId="0" borderId="0" xfId="0" applyFont="1" applyAlignment="1">
      <alignment horizontal="justify" vertical="center" wrapText="1"/>
    </xf>
    <xf numFmtId="0" fontId="4" fillId="0" borderId="0" xfId="0" applyFont="1" applyAlignment="1">
      <alignment horizontal="justify" vertical="top" wrapText="1"/>
    </xf>
    <xf numFmtId="0" fontId="4" fillId="0" borderId="0" xfId="0" applyFont="1" applyAlignment="1">
      <alignment horizontal="left" vertical="top" wrapText="1"/>
    </xf>
    <xf numFmtId="0" fontId="7" fillId="0" borderId="1" xfId="0" applyFont="1" applyBorder="1" applyAlignment="1">
      <alignment horizontal="left" vertical="center" wrapText="1" indent="2"/>
    </xf>
    <xf numFmtId="0" fontId="7" fillId="0" borderId="1" xfId="0" applyFont="1" applyBorder="1" applyAlignment="1">
      <alignment horizontal="left" vertical="center" wrapText="1" indent="1"/>
    </xf>
    <xf numFmtId="0" fontId="7" fillId="0" borderId="1" xfId="0" applyFont="1" applyBorder="1" applyAlignment="1">
      <alignment horizontal="center" vertical="center" wrapText="1"/>
    </xf>
    <xf numFmtId="0" fontId="12" fillId="0" borderId="1" xfId="0" applyFont="1" applyBorder="1" applyAlignment="1">
      <alignment horizontal="center" vertical="center" wrapText="1"/>
    </xf>
    <xf numFmtId="0" fontId="13" fillId="0" borderId="0" xfId="0" applyFont="1" applyAlignment="1">
      <alignment horizontal="left" vertical="center" wrapText="1"/>
    </xf>
    <xf numFmtId="0" fontId="0" fillId="0" borderId="0" xfId="0" applyAlignment="1">
      <alignment horizontal="left" vertical="justify" wrapText="1"/>
    </xf>
    <xf numFmtId="0" fontId="12" fillId="0" borderId="0" xfId="0" applyFont="1" applyAlignment="1">
      <alignment horizontal="left" vertical="top"/>
    </xf>
    <xf numFmtId="0" fontId="5" fillId="0" borderId="0" xfId="0" applyFont="1" applyAlignment="1">
      <alignment horizontal="left" vertical="center" wrapText="1"/>
    </xf>
    <xf numFmtId="0" fontId="8" fillId="2" borderId="1" xfId="0" applyFont="1" applyFill="1" applyBorder="1" applyAlignment="1">
      <alignment horizontal="center" vertical="center" wrapText="1"/>
    </xf>
  </cellXfs>
  <cellStyles count="4">
    <cellStyle name="Hipervínculo" xfId="3" builtinId="8"/>
    <cellStyle name="Millares" xfId="1" builtinId="3"/>
    <cellStyle name="Normal" xfId="0" builtinId="0"/>
    <cellStyle name="Salida" xfId="2" builtinId="2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5</xdr:col>
      <xdr:colOff>721785</xdr:colOff>
      <xdr:row>4</xdr:row>
      <xdr:rowOff>98425</xdr:rowOff>
    </xdr:from>
    <xdr:to>
      <xdr:col>8</xdr:col>
      <xdr:colOff>704850</xdr:colOff>
      <xdr:row>6</xdr:row>
      <xdr:rowOff>6703</xdr:rowOff>
    </xdr:to>
    <xdr:sp macro="" textlink="">
      <xdr:nvSpPr>
        <xdr:cNvPr id="3" name="Rectángulo redondeado 2"/>
        <xdr:cNvSpPr/>
      </xdr:nvSpPr>
      <xdr:spPr>
        <a:xfrm>
          <a:off x="3845985" y="669925"/>
          <a:ext cx="2373840" cy="260703"/>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lnSpc>
              <a:spcPct val="115000"/>
            </a:lnSpc>
            <a:spcAft>
              <a:spcPts val="1000"/>
            </a:spcAft>
          </a:pPr>
          <a:endParaRPr lang="es-ES" sz="1100">
            <a:effectLst/>
            <a:ea typeface="Calibri" panose="020F0502020204030204" pitchFamily="34" charset="0"/>
            <a:cs typeface="Times New Roman" panose="02020603050405020304" pitchFamily="18" charset="0"/>
          </a:endParaRPr>
        </a:p>
      </xdr:txBody>
    </xdr:sp>
    <xdr:clientData/>
  </xdr:twoCellAnchor>
  <xdr:twoCellAnchor editAs="oneCell">
    <xdr:from>
      <xdr:col>1</xdr:col>
      <xdr:colOff>76199</xdr:colOff>
      <xdr:row>0</xdr:row>
      <xdr:rowOff>51156</xdr:rowOff>
    </xdr:from>
    <xdr:to>
      <xdr:col>2</xdr:col>
      <xdr:colOff>581025</xdr:colOff>
      <xdr:row>2</xdr:row>
      <xdr:rowOff>130576</xdr:rowOff>
    </xdr:to>
    <xdr:pic>
      <xdr:nvPicPr>
        <xdr:cNvPr id="4" name="Imagen 3"/>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6224" y="51156"/>
          <a:ext cx="1104901" cy="4018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44450</xdr:colOff>
      <xdr:row>0</xdr:row>
      <xdr:rowOff>50800</xdr:rowOff>
    </xdr:from>
    <xdr:to>
      <xdr:col>4</xdr:col>
      <xdr:colOff>250826</xdr:colOff>
      <xdr:row>2</xdr:row>
      <xdr:rowOff>128808</xdr:rowOff>
    </xdr:to>
    <xdr:pic>
      <xdr:nvPicPr>
        <xdr:cNvPr id="3" name="Imagen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100" y="50800"/>
          <a:ext cx="1101726" cy="39550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9525</xdr:colOff>
      <xdr:row>0</xdr:row>
      <xdr:rowOff>38100</xdr:rowOff>
    </xdr:from>
    <xdr:ext cx="1143000" cy="419100"/>
    <xdr:pic>
      <xdr:nvPicPr>
        <xdr:cNvPr id="2" name="Imagen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14325" y="38100"/>
          <a:ext cx="1143000" cy="419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4.xml><?xml version="1.0" encoding="utf-8"?>
<xdr:wsDr xmlns:xdr="http://schemas.openxmlformats.org/drawingml/2006/spreadsheetDrawing" xmlns:a="http://schemas.openxmlformats.org/drawingml/2006/main">
  <xdr:twoCellAnchor>
    <xdr:from>
      <xdr:col>0</xdr:col>
      <xdr:colOff>104774</xdr:colOff>
      <xdr:row>0</xdr:row>
      <xdr:rowOff>219075</xdr:rowOff>
    </xdr:from>
    <xdr:to>
      <xdr:col>3</xdr:col>
      <xdr:colOff>104774</xdr:colOff>
      <xdr:row>4</xdr:row>
      <xdr:rowOff>190500</xdr:rowOff>
    </xdr:to>
    <xdr:pic>
      <xdr:nvPicPr>
        <xdr:cNvPr id="3" name="Imagen 2" descr="E:\LOGO ENDE ANDINA.JPG"/>
        <xdr:cNvPicPr>
          <a:picLocks noChangeAspect="1" noChangeArrowheads="1"/>
        </xdr:cNvPicPr>
      </xdr:nvPicPr>
      <xdr:blipFill>
        <a:blip xmlns:r="http://schemas.openxmlformats.org/officeDocument/2006/relationships" r:embed="rId1" cstate="print"/>
        <a:srcRect/>
        <a:stretch>
          <a:fillRect/>
        </a:stretch>
      </xdr:blipFill>
      <xdr:spPr bwMode="auto">
        <a:xfrm>
          <a:off x="104774" y="219075"/>
          <a:ext cx="2009775" cy="981075"/>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47625</xdr:colOff>
      <xdr:row>0</xdr:row>
      <xdr:rowOff>7567</xdr:rowOff>
    </xdr:from>
    <xdr:to>
      <xdr:col>16</xdr:col>
      <xdr:colOff>762001</xdr:colOff>
      <xdr:row>40</xdr:row>
      <xdr:rowOff>9525</xdr:rowOff>
    </xdr:to>
    <xdr:pic>
      <xdr:nvPicPr>
        <xdr:cNvPr id="12" name="Imagen 11"/>
        <xdr:cNvPicPr>
          <a:picLocks noChangeAspect="1"/>
        </xdr:cNvPicPr>
      </xdr:nvPicPr>
      <xdr:blipFill rotWithShape="1">
        <a:blip xmlns:r="http://schemas.openxmlformats.org/officeDocument/2006/relationships" r:embed="rId1"/>
        <a:srcRect l="35438" t="22078" r="34843" b="9191"/>
        <a:stretch/>
      </xdr:blipFill>
      <xdr:spPr>
        <a:xfrm>
          <a:off x="6419850" y="7567"/>
          <a:ext cx="6115051" cy="8393483"/>
        </a:xfrm>
        <a:prstGeom prst="rect">
          <a:avLst/>
        </a:prstGeom>
      </xdr:spPr>
    </xdr:pic>
    <xdr:clientData/>
  </xdr:twoCellAnchor>
  <xdr:twoCellAnchor>
    <xdr:from>
      <xdr:col>0</xdr:col>
      <xdr:colOff>133350</xdr:colOff>
      <xdr:row>8</xdr:row>
      <xdr:rowOff>104775</xdr:rowOff>
    </xdr:from>
    <xdr:to>
      <xdr:col>3</xdr:col>
      <xdr:colOff>219075</xdr:colOff>
      <xdr:row>8</xdr:row>
      <xdr:rowOff>359410</xdr:rowOff>
    </xdr:to>
    <xdr:sp macro="" textlink="">
      <xdr:nvSpPr>
        <xdr:cNvPr id="13" name="AutoShape 2"/>
        <xdr:cNvSpPr>
          <a:spLocks noChangeArrowheads="1"/>
        </xdr:cNvSpPr>
      </xdr:nvSpPr>
      <xdr:spPr bwMode="auto">
        <a:xfrm>
          <a:off x="133350" y="1600200"/>
          <a:ext cx="1828800" cy="25463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54000" tIns="45720" rIns="5400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LUGAR</a:t>
          </a:r>
          <a:r>
            <a:rPr lang="es-ES" sz="1000">
              <a:effectLst/>
              <a:latin typeface="Arial" panose="020B0604020202020204" pitchFamily="34" charset="0"/>
              <a:ea typeface="Calibri" panose="020F0502020204030204" pitchFamily="34" charset="0"/>
              <a:cs typeface="Times New Roman" panose="02020603050405020304" pitchFamily="18" charset="0"/>
            </a:rPr>
            <a:t>: COCHABAMBA</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3</xdr:col>
      <xdr:colOff>533400</xdr:colOff>
      <xdr:row>8</xdr:row>
      <xdr:rowOff>104775</xdr:rowOff>
    </xdr:from>
    <xdr:to>
      <xdr:col>6</xdr:col>
      <xdr:colOff>47625</xdr:colOff>
      <xdr:row>8</xdr:row>
      <xdr:rowOff>361950</xdr:rowOff>
    </xdr:to>
    <xdr:sp macro="" textlink="">
      <xdr:nvSpPr>
        <xdr:cNvPr id="14" name="AutoShape 3"/>
        <xdr:cNvSpPr>
          <a:spLocks noChangeArrowheads="1"/>
        </xdr:cNvSpPr>
      </xdr:nvSpPr>
      <xdr:spPr bwMode="auto">
        <a:xfrm>
          <a:off x="2276475" y="1600200"/>
          <a:ext cx="1828800" cy="25717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91440" tIns="45720" rIns="9144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FECHA</a:t>
          </a:r>
          <a:r>
            <a:rPr lang="es-ES" sz="1000">
              <a:effectLst/>
              <a:latin typeface="Arial" panose="020B0604020202020204" pitchFamily="34" charset="0"/>
              <a:ea typeface="Calibri" panose="020F0502020204030204" pitchFamily="34" charset="0"/>
              <a:cs typeface="Times New Roman" panose="02020603050405020304" pitchFamily="18" charset="0"/>
            </a:rPr>
            <a:t>: </a:t>
          </a:r>
          <a:r>
            <a:rPr lang="es-ES" sz="1000">
              <a:effectLst/>
              <a:highlight>
                <a:srgbClr val="FFFF00"/>
              </a:highlight>
              <a:latin typeface="Arial" panose="020B0604020202020204" pitchFamily="34" charset="0"/>
              <a:ea typeface="Calibri" panose="020F0502020204030204" pitchFamily="34" charset="0"/>
              <a:cs typeface="Times New Roman" panose="02020603050405020304" pitchFamily="18" charset="0"/>
            </a:rPr>
            <a:t>14/05</a:t>
          </a:r>
          <a:r>
            <a:rPr lang="es-ES" sz="1000">
              <a:effectLst/>
              <a:latin typeface="Arial" panose="020B0604020202020204" pitchFamily="34" charset="0"/>
              <a:ea typeface="Calibri" panose="020F0502020204030204" pitchFamily="34" charset="0"/>
              <a:cs typeface="Times New Roman" panose="02020603050405020304" pitchFamily="18" charset="0"/>
            </a:rPr>
            <a:t>//2018</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xdr:from>
      <xdr:col>6</xdr:col>
      <xdr:colOff>333375</xdr:colOff>
      <xdr:row>8</xdr:row>
      <xdr:rowOff>104775</xdr:rowOff>
    </xdr:from>
    <xdr:to>
      <xdr:col>8</xdr:col>
      <xdr:colOff>619125</xdr:colOff>
      <xdr:row>8</xdr:row>
      <xdr:rowOff>361950</xdr:rowOff>
    </xdr:to>
    <xdr:sp macro="" textlink="">
      <xdr:nvSpPr>
        <xdr:cNvPr id="15" name="AutoShape 3"/>
        <xdr:cNvSpPr>
          <a:spLocks noChangeArrowheads="1"/>
        </xdr:cNvSpPr>
      </xdr:nvSpPr>
      <xdr:spPr bwMode="auto">
        <a:xfrm>
          <a:off x="4391025" y="1600200"/>
          <a:ext cx="1828800" cy="257175"/>
        </a:xfrm>
        <a:prstGeom prst="roundRect">
          <a:avLst>
            <a:gd name="adj" fmla="val 16667"/>
          </a:avLst>
        </a:prstGeom>
        <a:solidFill>
          <a:srgbClr val="FFFFFF"/>
        </a:solidFill>
        <a:ln w="9525">
          <a:solidFill>
            <a:srgbClr val="3366FF"/>
          </a:solidFill>
          <a:round/>
          <a:headEnd/>
          <a:tailEnd/>
        </a:ln>
        <a:effectLst/>
        <a:extLst>
          <a:ext uri="{AF507438-7753-43E0-B8FC-AC1667EBCBE1}">
            <a14:hiddenEffects xmlns:a14="http://schemas.microsoft.com/office/drawing/2010/main">
              <a:effectLst>
                <a:outerShdw dist="35921" dir="2700000" algn="ctr" rotWithShape="0">
                  <a:srgbClr val="868686"/>
                </a:outerShdw>
              </a:effectLst>
            </a14:hiddenEffects>
          </a:ext>
        </a:extLst>
      </xdr:spPr>
      <xdr:txBody>
        <a:bodyPr rot="0" vert="horz" wrap="square" lIns="91440" tIns="45720" rIns="91440" bIns="45720" anchor="ctr" anchorCtr="0" upright="1">
          <a:noAutofit/>
        </a:bodyPr>
        <a:lstStyle/>
        <a:p>
          <a:pPr algn="ctr">
            <a:lnSpc>
              <a:spcPct val="115000"/>
            </a:lnSpc>
            <a:spcAft>
              <a:spcPts val="1000"/>
            </a:spcAft>
          </a:pPr>
          <a:r>
            <a:rPr lang="es-ES" sz="1000" b="1">
              <a:effectLst/>
              <a:latin typeface="Arial" panose="020B0604020202020204" pitchFamily="34" charset="0"/>
              <a:ea typeface="Calibri" panose="020F0502020204030204" pitchFamily="34" charset="0"/>
              <a:cs typeface="Times New Roman" panose="02020603050405020304" pitchFamily="18" charset="0"/>
            </a:rPr>
            <a:t>FECHA</a:t>
          </a:r>
          <a:r>
            <a:rPr lang="es-ES" sz="1000">
              <a:effectLst/>
              <a:latin typeface="Arial" panose="020B0604020202020204" pitchFamily="34" charset="0"/>
              <a:ea typeface="Calibri" panose="020F0502020204030204" pitchFamily="34" charset="0"/>
              <a:cs typeface="Times New Roman" panose="02020603050405020304" pitchFamily="18" charset="0"/>
            </a:rPr>
            <a:t>: </a:t>
          </a:r>
          <a:r>
            <a:rPr lang="es-ES" sz="1000">
              <a:effectLst/>
              <a:highlight>
                <a:srgbClr val="FFFF00"/>
              </a:highlight>
              <a:latin typeface="Arial" panose="020B0604020202020204" pitchFamily="34" charset="0"/>
              <a:ea typeface="Calibri" panose="020F0502020204030204" pitchFamily="34" charset="0"/>
              <a:cs typeface="Times New Roman" panose="02020603050405020304" pitchFamily="18" charset="0"/>
            </a:rPr>
            <a:t>14/05</a:t>
          </a:r>
          <a:r>
            <a:rPr lang="es-ES" sz="1000">
              <a:effectLst/>
              <a:latin typeface="Arial" panose="020B0604020202020204" pitchFamily="34" charset="0"/>
              <a:ea typeface="Calibri" panose="020F0502020204030204" pitchFamily="34" charset="0"/>
              <a:cs typeface="Times New Roman" panose="02020603050405020304" pitchFamily="18" charset="0"/>
            </a:rPr>
            <a:t>//2018</a:t>
          </a:r>
          <a:endParaRPr lang="es-BO" sz="1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twoCellAnchor editAs="oneCell">
    <xdr:from>
      <xdr:col>5</xdr:col>
      <xdr:colOff>871988</xdr:colOff>
      <xdr:row>0</xdr:row>
      <xdr:rowOff>85724</xdr:rowOff>
    </xdr:from>
    <xdr:to>
      <xdr:col>8</xdr:col>
      <xdr:colOff>946523</xdr:colOff>
      <xdr:row>6</xdr:row>
      <xdr:rowOff>23811</xdr:rowOff>
    </xdr:to>
    <xdr:pic>
      <xdr:nvPicPr>
        <xdr:cNvPr id="11" name="Imagen 1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55707" y="85724"/>
          <a:ext cx="2277191" cy="878681"/>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34998626667073579"/>
  </sheetPr>
  <dimension ref="A1:I37"/>
  <sheetViews>
    <sheetView showGridLines="0" view="pageLayout" zoomScaleNormal="90" zoomScaleSheetLayoutView="90" workbookViewId="0">
      <selection activeCell="H7" sqref="H7"/>
    </sheetView>
  </sheetViews>
  <sheetFormatPr baseColWidth="10" defaultColWidth="10.88671875" defaultRowHeight="13.2" x14ac:dyDescent="0.25"/>
  <cols>
    <col min="1" max="1" width="2.88671875" style="2" customWidth="1"/>
    <col min="2" max="2" width="8.5546875" style="2" customWidth="1"/>
    <col min="3" max="6" width="10.88671875" style="2"/>
    <col min="7" max="7" width="12" style="2" customWidth="1"/>
    <col min="8" max="8" width="11.109375" style="2" customWidth="1"/>
    <col min="9" max="9" width="10.6640625" style="2" customWidth="1"/>
    <col min="10" max="16384" width="10.88671875" style="2"/>
  </cols>
  <sheetData>
    <row r="1" spans="1:9" ht="12.6" customHeight="1" x14ac:dyDescent="0.25">
      <c r="A1" s="181"/>
      <c r="B1" s="182"/>
      <c r="C1" s="183"/>
      <c r="D1" s="190" t="s">
        <v>41</v>
      </c>
      <c r="E1" s="190"/>
      <c r="F1" s="190"/>
      <c r="G1" s="191"/>
      <c r="H1" s="4" t="s">
        <v>34</v>
      </c>
      <c r="I1" s="5" t="s">
        <v>64</v>
      </c>
    </row>
    <row r="2" spans="1:9" ht="12.6" customHeight="1" x14ac:dyDescent="0.25">
      <c r="A2" s="184"/>
      <c r="B2" s="185"/>
      <c r="C2" s="186"/>
      <c r="D2" s="192" t="s">
        <v>52</v>
      </c>
      <c r="E2" s="192"/>
      <c r="F2" s="192"/>
      <c r="G2" s="193"/>
      <c r="H2" s="4" t="s">
        <v>35</v>
      </c>
      <c r="I2" s="26" t="s">
        <v>65</v>
      </c>
    </row>
    <row r="3" spans="1:9" ht="12.6" customHeight="1" x14ac:dyDescent="0.25">
      <c r="A3" s="187"/>
      <c r="B3" s="188"/>
      <c r="C3" s="189"/>
      <c r="D3" s="194"/>
      <c r="E3" s="194"/>
      <c r="F3" s="194"/>
      <c r="G3" s="195"/>
      <c r="H3" s="4" t="s">
        <v>36</v>
      </c>
      <c r="I3" s="18">
        <v>43307</v>
      </c>
    </row>
    <row r="4" spans="1:9" s="19" customFormat="1" ht="9.6" customHeight="1" x14ac:dyDescent="0.25"/>
    <row r="5" spans="1:9" s="19" customFormat="1" ht="9" customHeight="1" x14ac:dyDescent="0.25"/>
    <row r="6" spans="1:9" s="19" customFormat="1" ht="18.75" customHeight="1" x14ac:dyDescent="0.25">
      <c r="G6" s="128" t="s">
        <v>25</v>
      </c>
      <c r="H6" s="197" t="s">
        <v>175</v>
      </c>
      <c r="I6" s="197"/>
    </row>
    <row r="7" spans="1:9" s="19" customFormat="1" ht="20.399999999999999" customHeight="1" x14ac:dyDescent="0.25">
      <c r="A7" s="19" t="s">
        <v>59</v>
      </c>
    </row>
    <row r="8" spans="1:9" s="19" customFormat="1" ht="24.9" customHeight="1" x14ac:dyDescent="0.25">
      <c r="A8" s="179" t="s">
        <v>63</v>
      </c>
      <c r="B8" s="179"/>
      <c r="C8" s="179"/>
      <c r="D8" s="179"/>
      <c r="E8" s="179"/>
      <c r="F8" s="179"/>
      <c r="G8" s="179"/>
      <c r="H8" s="179"/>
      <c r="I8" s="179"/>
    </row>
    <row r="9" spans="1:9" s="19" customFormat="1" ht="29.25" customHeight="1" x14ac:dyDescent="0.25">
      <c r="A9" s="196"/>
      <c r="B9" s="196"/>
      <c r="C9" s="196"/>
      <c r="D9" s="196"/>
      <c r="E9" s="196"/>
      <c r="F9" s="196"/>
      <c r="G9" s="196"/>
      <c r="H9" s="196"/>
      <c r="I9" s="196"/>
    </row>
    <row r="10" spans="1:9" s="19" customFormat="1" ht="38.25" customHeight="1" x14ac:dyDescent="0.25">
      <c r="A10" s="179" t="s">
        <v>172</v>
      </c>
      <c r="B10" s="179"/>
      <c r="C10" s="179"/>
      <c r="D10" s="179"/>
      <c r="E10" s="179"/>
      <c r="F10" s="179"/>
      <c r="G10" s="179"/>
      <c r="H10" s="179"/>
      <c r="I10" s="179"/>
    </row>
    <row r="11" spans="1:9" s="19" customFormat="1" ht="3.75" customHeight="1" x14ac:dyDescent="0.25">
      <c r="A11" s="20"/>
      <c r="B11" s="20"/>
      <c r="C11" s="20"/>
      <c r="D11" s="20"/>
      <c r="E11" s="20"/>
      <c r="F11" s="20"/>
      <c r="G11" s="20"/>
      <c r="H11" s="20"/>
      <c r="I11" s="20"/>
    </row>
    <row r="12" spans="1:9" s="19" customFormat="1" ht="15" customHeight="1" x14ac:dyDescent="0.25">
      <c r="A12" s="180" t="s">
        <v>40</v>
      </c>
      <c r="B12" s="179"/>
      <c r="C12" s="179"/>
      <c r="D12" s="179"/>
      <c r="E12" s="179"/>
      <c r="F12" s="179"/>
      <c r="G12" s="179"/>
      <c r="H12" s="179"/>
      <c r="I12" s="179"/>
    </row>
    <row r="13" spans="1:9" s="19" customFormat="1" ht="9" customHeight="1" x14ac:dyDescent="0.25">
      <c r="A13" s="25"/>
      <c r="B13" s="20"/>
      <c r="C13" s="20"/>
      <c r="D13" s="20"/>
      <c r="E13" s="20"/>
      <c r="F13" s="20"/>
      <c r="G13" s="20"/>
      <c r="H13" s="20"/>
      <c r="I13" s="20"/>
    </row>
    <row r="14" spans="1:9" s="19" customFormat="1" ht="15" customHeight="1" x14ac:dyDescent="0.25">
      <c r="A14" s="21" t="s">
        <v>38</v>
      </c>
      <c r="B14" s="200" t="s">
        <v>60</v>
      </c>
      <c r="C14" s="200"/>
      <c r="D14" s="200"/>
      <c r="E14" s="200"/>
      <c r="F14" s="200"/>
      <c r="G14" s="200"/>
      <c r="H14" s="200"/>
      <c r="I14" s="200"/>
    </row>
    <row r="15" spans="1:9" s="19" customFormat="1" ht="74.400000000000006" customHeight="1" x14ac:dyDescent="0.25">
      <c r="A15" s="21" t="s">
        <v>39</v>
      </c>
      <c r="B15" s="200" t="s">
        <v>66</v>
      </c>
      <c r="C15" s="200"/>
      <c r="D15" s="200"/>
      <c r="E15" s="200"/>
      <c r="F15" s="200"/>
      <c r="G15" s="200"/>
      <c r="H15" s="200"/>
      <c r="I15" s="200"/>
    </row>
    <row r="16" spans="1:9" s="19" customFormat="1" ht="9" customHeight="1" x14ac:dyDescent="0.25">
      <c r="A16" s="21"/>
      <c r="B16" s="21"/>
      <c r="C16" s="21"/>
      <c r="D16" s="21"/>
      <c r="E16" s="21"/>
      <c r="F16" s="21"/>
      <c r="G16" s="21"/>
      <c r="H16" s="21"/>
      <c r="I16" s="21"/>
    </row>
    <row r="17" spans="1:9" s="19" customFormat="1" ht="24" customHeight="1" x14ac:dyDescent="0.25">
      <c r="A17" s="22"/>
      <c r="B17" s="179" t="s">
        <v>61</v>
      </c>
      <c r="C17" s="179"/>
      <c r="D17" s="179"/>
      <c r="E17" s="179"/>
      <c r="F17" s="179"/>
      <c r="G17" s="179"/>
      <c r="H17" s="179"/>
      <c r="I17" s="179"/>
    </row>
    <row r="18" spans="1:9" s="19" customFormat="1" ht="9" customHeight="1" x14ac:dyDescent="0.25">
      <c r="A18" s="22"/>
      <c r="B18" s="20"/>
      <c r="C18" s="20"/>
      <c r="D18" s="20"/>
      <c r="E18" s="20"/>
      <c r="F18" s="20"/>
      <c r="G18" s="20"/>
      <c r="H18" s="20"/>
      <c r="I18" s="20"/>
    </row>
    <row r="19" spans="1:9" s="19" customFormat="1" ht="39.6" customHeight="1" x14ac:dyDescent="0.25">
      <c r="A19" s="179" t="s">
        <v>159</v>
      </c>
      <c r="B19" s="179"/>
      <c r="C19" s="179"/>
      <c r="D19" s="179"/>
      <c r="E19" s="179"/>
      <c r="F19" s="179"/>
      <c r="G19" s="179"/>
      <c r="H19" s="179"/>
      <c r="I19" s="179"/>
    </row>
    <row r="20" spans="1:9" s="19" customFormat="1" ht="9.6" customHeight="1" x14ac:dyDescent="0.25">
      <c r="A20" s="20"/>
      <c r="B20" s="20"/>
      <c r="C20" s="20"/>
      <c r="D20" s="20"/>
      <c r="E20" s="20"/>
      <c r="F20" s="20"/>
      <c r="G20" s="20"/>
      <c r="H20" s="20"/>
      <c r="I20" s="20"/>
    </row>
    <row r="21" spans="1:9" s="19" customFormat="1" ht="15" customHeight="1" x14ac:dyDescent="0.25">
      <c r="A21" s="180" t="s">
        <v>31</v>
      </c>
      <c r="B21" s="180"/>
      <c r="C21" s="180"/>
      <c r="D21" s="180"/>
      <c r="E21" s="180"/>
      <c r="F21" s="180"/>
      <c r="G21" s="180"/>
      <c r="H21" s="180"/>
      <c r="I21" s="180"/>
    </row>
    <row r="22" spans="1:9" s="19" customFormat="1" ht="23.1" customHeight="1" x14ac:dyDescent="0.25">
      <c r="A22" s="196"/>
      <c r="B22" s="196"/>
      <c r="C22" s="196"/>
      <c r="D22" s="196"/>
      <c r="E22" s="196"/>
      <c r="F22" s="196"/>
      <c r="G22" s="196"/>
      <c r="H22" s="196"/>
      <c r="I22" s="196"/>
    </row>
    <row r="23" spans="1:9" s="19" customFormat="1" ht="34.5" customHeight="1" x14ac:dyDescent="0.25">
      <c r="A23" s="179" t="s">
        <v>173</v>
      </c>
      <c r="B23" s="179"/>
      <c r="C23" s="179"/>
      <c r="D23" s="179"/>
      <c r="E23" s="179"/>
      <c r="F23" s="179"/>
      <c r="G23" s="179"/>
      <c r="H23" s="179"/>
      <c r="I23" s="179"/>
    </row>
    <row r="24" spans="1:9" s="19" customFormat="1" ht="9" customHeight="1" x14ac:dyDescent="0.25">
      <c r="A24" s="20"/>
      <c r="B24" s="20"/>
      <c r="C24" s="20"/>
      <c r="D24" s="20"/>
      <c r="E24" s="20"/>
      <c r="F24" s="20"/>
      <c r="G24" s="20"/>
      <c r="H24" s="20"/>
      <c r="I24" s="20"/>
    </row>
    <row r="25" spans="1:9" s="19" customFormat="1" ht="15" customHeight="1" x14ac:dyDescent="0.25">
      <c r="A25" s="199" t="s">
        <v>62</v>
      </c>
      <c r="B25" s="199"/>
      <c r="C25" s="199"/>
      <c r="D25" s="199"/>
      <c r="E25" s="199"/>
      <c r="F25" s="199"/>
      <c r="G25" s="199"/>
      <c r="H25" s="199"/>
      <c r="I25" s="199"/>
    </row>
    <row r="26" spans="1:9" s="19" customFormat="1" ht="9.9" customHeight="1" x14ac:dyDescent="0.25">
      <c r="A26" s="23"/>
      <c r="B26" s="23"/>
      <c r="C26" s="23"/>
      <c r="D26" s="23"/>
      <c r="E26" s="23"/>
      <c r="F26" s="23"/>
      <c r="G26" s="23"/>
      <c r="H26" s="23"/>
      <c r="I26" s="23"/>
    </row>
    <row r="27" spans="1:9" s="19" customFormat="1" ht="38.1" customHeight="1" x14ac:dyDescent="0.25">
      <c r="A27" s="179" t="s">
        <v>67</v>
      </c>
      <c r="B27" s="179"/>
      <c r="C27" s="179"/>
      <c r="D27" s="179"/>
      <c r="E27" s="179"/>
      <c r="F27" s="179"/>
      <c r="G27" s="179"/>
      <c r="H27" s="179"/>
      <c r="I27" s="179"/>
    </row>
    <row r="28" spans="1:9" s="19" customFormat="1" ht="4.5" customHeight="1" x14ac:dyDescent="0.25">
      <c r="A28" s="20"/>
      <c r="B28" s="20"/>
      <c r="C28" s="20"/>
      <c r="D28" s="20"/>
      <c r="E28" s="20"/>
      <c r="F28" s="20"/>
      <c r="G28" s="20"/>
      <c r="H28" s="20"/>
      <c r="I28" s="20"/>
    </row>
    <row r="29" spans="1:9" s="19" customFormat="1" ht="52.5" customHeight="1" x14ac:dyDescent="0.25">
      <c r="A29" s="179" t="s">
        <v>174</v>
      </c>
      <c r="B29" s="179"/>
      <c r="C29" s="179"/>
      <c r="D29" s="179"/>
      <c r="E29" s="179"/>
      <c r="F29" s="179"/>
      <c r="G29" s="179"/>
      <c r="H29" s="179"/>
      <c r="I29" s="179"/>
    </row>
    <row r="30" spans="1:9" s="19" customFormat="1" ht="4.5" customHeight="1" x14ac:dyDescent="0.25">
      <c r="A30" s="20"/>
      <c r="B30" s="20"/>
      <c r="C30" s="20"/>
      <c r="D30" s="20"/>
      <c r="E30" s="20"/>
      <c r="F30" s="20"/>
      <c r="G30" s="20"/>
      <c r="H30" s="20"/>
      <c r="I30" s="20"/>
    </row>
    <row r="31" spans="1:9" s="19" customFormat="1" ht="36" customHeight="1" x14ac:dyDescent="0.25">
      <c r="A31" s="179" t="s">
        <v>33</v>
      </c>
      <c r="B31" s="179"/>
      <c r="C31" s="179"/>
      <c r="D31" s="179"/>
      <c r="E31" s="179"/>
      <c r="F31" s="179"/>
      <c r="G31" s="179"/>
      <c r="H31" s="179"/>
      <c r="I31" s="179"/>
    </row>
    <row r="32" spans="1:9" s="19" customFormat="1" ht="25.5" customHeight="1" x14ac:dyDescent="0.25">
      <c r="A32" s="196" t="s">
        <v>32</v>
      </c>
      <c r="B32" s="196"/>
      <c r="C32" s="196"/>
      <c r="D32" s="196"/>
      <c r="E32" s="196"/>
      <c r="F32" s="196"/>
      <c r="G32" s="196"/>
      <c r="H32" s="196"/>
      <c r="I32" s="196"/>
    </row>
    <row r="33" spans="1:9" s="24" customFormat="1" ht="18" customHeight="1" x14ac:dyDescent="0.25">
      <c r="A33" s="198" t="s">
        <v>37</v>
      </c>
      <c r="B33" s="198"/>
      <c r="C33" s="198"/>
      <c r="D33" s="198"/>
      <c r="E33" s="198"/>
      <c r="F33" s="198"/>
      <c r="G33" s="198"/>
      <c r="H33" s="198"/>
      <c r="I33" s="198"/>
    </row>
    <row r="35" spans="1:9" ht="10.5" customHeight="1" x14ac:dyDescent="0.25"/>
    <row r="36" spans="1:9" ht="11.1" customHeight="1" x14ac:dyDescent="0.25"/>
    <row r="37" spans="1:9" ht="2.25" customHeight="1" x14ac:dyDescent="0.25"/>
  </sheetData>
  <mergeCells count="21">
    <mergeCell ref="B14:I14"/>
    <mergeCell ref="B15:I15"/>
    <mergeCell ref="B17:I17"/>
    <mergeCell ref="A22:I22"/>
    <mergeCell ref="A23:I23"/>
    <mergeCell ref="A21:I21"/>
    <mergeCell ref="A19:I19"/>
    <mergeCell ref="A32:I32"/>
    <mergeCell ref="A33:I33"/>
    <mergeCell ref="A29:I29"/>
    <mergeCell ref="A31:I31"/>
    <mergeCell ref="A25:I25"/>
    <mergeCell ref="A27:I27"/>
    <mergeCell ref="A10:I10"/>
    <mergeCell ref="A12:I12"/>
    <mergeCell ref="A1:C3"/>
    <mergeCell ref="D1:G1"/>
    <mergeCell ref="D2:G3"/>
    <mergeCell ref="A8:I8"/>
    <mergeCell ref="A9:I9"/>
    <mergeCell ref="H6:I6"/>
  </mergeCells>
  <printOptions horizontalCentered="1"/>
  <pageMargins left="0.70866141732283472" right="0.59055118110236227" top="0.59055118110236227" bottom="0.65625" header="0.31496062992125984" footer="0.31496062992125984"/>
  <pageSetup orientation="portrait" r:id="rId1"/>
  <headerFooter>
    <oddFooter>&amp;C&amp;9Av. Ecológica N° 88, Pasaje Villa Gardenias N° 40
Tiquipaya, Cochabamba - Bolivia&amp;R&amp;"Arial,Cursiva"&amp;9Página &amp;P</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rgb="FFFFC000"/>
  </sheetPr>
  <dimension ref="A1:V47"/>
  <sheetViews>
    <sheetView showGridLines="0" tabSelected="1" view="pageLayout" zoomScaleNormal="100" workbookViewId="0">
      <selection activeCell="J11" sqref="J11:U11"/>
    </sheetView>
  </sheetViews>
  <sheetFormatPr baseColWidth="10" defaultColWidth="10.88671875" defaultRowHeight="13.2" x14ac:dyDescent="0.25"/>
  <cols>
    <col min="1" max="1" width="3.5546875" style="1" customWidth="1"/>
    <col min="2" max="4" width="4.33203125" style="2" customWidth="1"/>
    <col min="5" max="5" width="6.6640625" style="2" customWidth="1"/>
    <col min="6" max="20" width="4.33203125" style="2" customWidth="1"/>
    <col min="21" max="21" width="5.6640625" style="2" customWidth="1"/>
    <col min="22" max="23" width="4.33203125" style="2" customWidth="1"/>
    <col min="24" max="16384" width="10.88671875" style="2"/>
  </cols>
  <sheetData>
    <row r="1" spans="1:21" ht="12.6" customHeight="1" x14ac:dyDescent="0.25">
      <c r="A1" s="181"/>
      <c r="B1" s="182"/>
      <c r="C1" s="182"/>
      <c r="D1" s="182"/>
      <c r="E1" s="183"/>
      <c r="F1" s="211" t="s">
        <v>41</v>
      </c>
      <c r="G1" s="190"/>
      <c r="H1" s="190"/>
      <c r="I1" s="190"/>
      <c r="J1" s="190"/>
      <c r="K1" s="190"/>
      <c r="L1" s="190"/>
      <c r="M1" s="190"/>
      <c r="N1" s="190"/>
      <c r="O1" s="190"/>
      <c r="P1" s="191"/>
      <c r="Q1" s="215" t="s">
        <v>34</v>
      </c>
      <c r="R1" s="216"/>
      <c r="S1" s="216"/>
      <c r="T1" s="217" t="s">
        <v>64</v>
      </c>
      <c r="U1" s="218"/>
    </row>
    <row r="2" spans="1:21" ht="12.6" customHeight="1" x14ac:dyDescent="0.25">
      <c r="A2" s="184"/>
      <c r="B2" s="185"/>
      <c r="C2" s="185"/>
      <c r="D2" s="185"/>
      <c r="E2" s="186"/>
      <c r="F2" s="212" t="s">
        <v>52</v>
      </c>
      <c r="G2" s="192"/>
      <c r="H2" s="192"/>
      <c r="I2" s="192"/>
      <c r="J2" s="192"/>
      <c r="K2" s="192"/>
      <c r="L2" s="192"/>
      <c r="M2" s="192"/>
      <c r="N2" s="192"/>
      <c r="O2" s="192"/>
      <c r="P2" s="193"/>
      <c r="Q2" s="215" t="s">
        <v>35</v>
      </c>
      <c r="R2" s="216"/>
      <c r="S2" s="216"/>
      <c r="T2" s="219" t="s">
        <v>65</v>
      </c>
      <c r="U2" s="220"/>
    </row>
    <row r="3" spans="1:21" ht="12.6" customHeight="1" x14ac:dyDescent="0.25">
      <c r="A3" s="187"/>
      <c r="B3" s="188"/>
      <c r="C3" s="188"/>
      <c r="D3" s="188"/>
      <c r="E3" s="189"/>
      <c r="F3" s="213"/>
      <c r="G3" s="194"/>
      <c r="H3" s="194"/>
      <c r="I3" s="194"/>
      <c r="J3" s="194"/>
      <c r="K3" s="194"/>
      <c r="L3" s="194"/>
      <c r="M3" s="194"/>
      <c r="N3" s="194"/>
      <c r="O3" s="194"/>
      <c r="P3" s="195"/>
      <c r="Q3" s="215" t="s">
        <v>36</v>
      </c>
      <c r="R3" s="216"/>
      <c r="S3" s="216"/>
      <c r="T3" s="221">
        <v>43307</v>
      </c>
      <c r="U3" s="218"/>
    </row>
    <row r="4" spans="1:21" x14ac:dyDescent="0.25">
      <c r="A4" s="7"/>
      <c r="B4" s="6"/>
      <c r="C4" s="6"/>
      <c r="D4" s="6"/>
      <c r="E4" s="6"/>
      <c r="F4" s="6"/>
      <c r="G4" s="6"/>
      <c r="H4" s="6"/>
      <c r="I4" s="6"/>
      <c r="J4" s="6"/>
      <c r="K4" s="6"/>
      <c r="L4" s="6"/>
      <c r="M4" s="6"/>
      <c r="N4" s="6"/>
      <c r="O4" s="6"/>
      <c r="P4" s="6"/>
      <c r="Q4" s="6"/>
      <c r="R4" s="6"/>
      <c r="S4" s="6"/>
      <c r="T4" s="6"/>
      <c r="U4" s="6"/>
    </row>
    <row r="5" spans="1:21" ht="13.8" thickBot="1" x14ac:dyDescent="0.3">
      <c r="A5" s="207" t="s">
        <v>176</v>
      </c>
      <c r="B5" s="207"/>
      <c r="C5" s="207"/>
      <c r="D5" s="207"/>
      <c r="E5" s="207"/>
      <c r="F5" s="207"/>
      <c r="G5" s="207"/>
      <c r="H5" s="207"/>
      <c r="I5" s="207"/>
      <c r="J5" s="207"/>
      <c r="K5" s="207"/>
      <c r="L5" s="207"/>
      <c r="M5" s="207"/>
      <c r="N5" s="207"/>
      <c r="O5" s="207"/>
      <c r="P5" s="207"/>
      <c r="Q5" s="207"/>
      <c r="R5" s="207"/>
      <c r="S5" s="207"/>
      <c r="T5" s="207"/>
      <c r="U5" s="207"/>
    </row>
    <row r="6" spans="1:21" s="9" customFormat="1" ht="6" customHeight="1" x14ac:dyDescent="0.25">
      <c r="A6" s="29"/>
      <c r="B6" s="3"/>
      <c r="C6" s="3"/>
      <c r="D6" s="3"/>
      <c r="E6" s="3"/>
      <c r="F6" s="3"/>
      <c r="G6" s="3"/>
      <c r="H6" s="3"/>
      <c r="I6" s="3"/>
      <c r="J6" s="3"/>
      <c r="K6" s="3"/>
      <c r="L6" s="3"/>
      <c r="M6" s="3"/>
      <c r="N6" s="3"/>
      <c r="O6" s="3"/>
      <c r="P6" s="3"/>
      <c r="Q6" s="3"/>
      <c r="R6" s="3"/>
      <c r="S6" s="3"/>
      <c r="T6" s="3"/>
      <c r="U6" s="3"/>
    </row>
    <row r="7" spans="1:21" s="9" customFormat="1" ht="12" x14ac:dyDescent="0.25">
      <c r="A7" s="28" t="s">
        <v>7</v>
      </c>
      <c r="B7" s="8" t="s">
        <v>3</v>
      </c>
    </row>
    <row r="8" spans="1:21" s="9" customFormat="1" ht="6" customHeight="1" x14ac:dyDescent="0.25">
      <c r="A8" s="10"/>
    </row>
    <row r="9" spans="1:21" s="9" customFormat="1" ht="13.5" customHeight="1" x14ac:dyDescent="0.25">
      <c r="A9" s="10"/>
      <c r="B9" s="208" t="s">
        <v>49</v>
      </c>
      <c r="C9" s="208"/>
      <c r="D9" s="208"/>
      <c r="E9" s="208"/>
      <c r="F9" s="208"/>
      <c r="G9" s="208"/>
      <c r="H9" s="208"/>
      <c r="I9" s="208"/>
      <c r="J9" s="209"/>
      <c r="K9" s="209"/>
      <c r="L9" s="209"/>
      <c r="M9" s="209"/>
      <c r="N9" s="209"/>
      <c r="O9" s="209"/>
      <c r="P9" s="209"/>
      <c r="Q9" s="209"/>
      <c r="R9" s="209"/>
      <c r="S9" s="209"/>
      <c r="T9" s="209"/>
      <c r="U9" s="209"/>
    </row>
    <row r="10" spans="1:21" s="9" customFormat="1" ht="13.5" customHeight="1" x14ac:dyDescent="0.25">
      <c r="A10" s="10"/>
      <c r="B10" s="208" t="s">
        <v>42</v>
      </c>
      <c r="C10" s="208"/>
      <c r="D10" s="208"/>
      <c r="E10" s="208"/>
      <c r="F10" s="208"/>
      <c r="G10" s="208"/>
      <c r="H10" s="208"/>
      <c r="I10" s="208"/>
      <c r="J10" s="205"/>
      <c r="K10" s="205"/>
      <c r="L10" s="205"/>
      <c r="M10" s="205"/>
      <c r="N10" s="205"/>
      <c r="O10" s="205"/>
      <c r="P10" s="205"/>
      <c r="Q10" s="205"/>
      <c r="R10" s="205"/>
      <c r="S10" s="205"/>
      <c r="T10" s="205"/>
      <c r="U10" s="205"/>
    </row>
    <row r="11" spans="1:21" s="9" customFormat="1" ht="13.5" customHeight="1" x14ac:dyDescent="0.25">
      <c r="A11" s="10"/>
      <c r="B11" s="208" t="s">
        <v>44</v>
      </c>
      <c r="C11" s="208"/>
      <c r="D11" s="208"/>
      <c r="E11" s="208"/>
      <c r="F11" s="208"/>
      <c r="G11" s="208"/>
      <c r="H11" s="208"/>
      <c r="I11" s="208"/>
      <c r="J11" s="205"/>
      <c r="K11" s="205"/>
      <c r="L11" s="205"/>
      <c r="M11" s="205"/>
      <c r="N11" s="205"/>
      <c r="O11" s="205"/>
      <c r="P11" s="205"/>
      <c r="Q11" s="205"/>
      <c r="R11" s="205"/>
      <c r="S11" s="205"/>
      <c r="T11" s="205"/>
      <c r="U11" s="205"/>
    </row>
    <row r="12" spans="1:21" s="9" customFormat="1" ht="13.5" customHeight="1" x14ac:dyDescent="0.25">
      <c r="A12" s="10"/>
      <c r="B12" s="208" t="s">
        <v>43</v>
      </c>
      <c r="C12" s="208"/>
      <c r="D12" s="208"/>
      <c r="E12" s="208"/>
      <c r="F12" s="208"/>
      <c r="G12" s="208"/>
      <c r="H12" s="208"/>
      <c r="I12" s="208"/>
      <c r="J12" s="205"/>
      <c r="K12" s="205"/>
      <c r="L12" s="205"/>
      <c r="M12" s="205"/>
      <c r="N12" s="205"/>
      <c r="O12" s="205"/>
      <c r="P12" s="205"/>
      <c r="Q12" s="205"/>
      <c r="R12" s="205"/>
      <c r="S12" s="205"/>
      <c r="T12" s="205"/>
      <c r="U12" s="205"/>
    </row>
    <row r="13" spans="1:21" s="9" customFormat="1" ht="13.5" customHeight="1" x14ac:dyDescent="0.25">
      <c r="A13" s="10"/>
      <c r="B13" s="214" t="s">
        <v>71</v>
      </c>
      <c r="C13" s="214"/>
      <c r="D13" s="214"/>
      <c r="E13" s="214"/>
      <c r="F13" s="214"/>
      <c r="G13" s="214"/>
      <c r="H13" s="214"/>
      <c r="I13" s="214"/>
      <c r="J13" s="205"/>
      <c r="K13" s="205"/>
      <c r="L13" s="205"/>
      <c r="M13" s="205"/>
      <c r="N13" s="205"/>
      <c r="O13" s="205"/>
      <c r="P13" s="205"/>
      <c r="Q13" s="205"/>
      <c r="R13" s="205"/>
      <c r="S13" s="205"/>
      <c r="T13" s="205"/>
      <c r="U13" s="205"/>
    </row>
    <row r="14" spans="1:21" s="9" customFormat="1" ht="13.5" customHeight="1" x14ac:dyDescent="0.25">
      <c r="A14" s="10"/>
      <c r="B14" s="208" t="s">
        <v>70</v>
      </c>
      <c r="C14" s="208"/>
      <c r="D14" s="208"/>
      <c r="E14" s="208"/>
      <c r="F14" s="208"/>
      <c r="G14" s="208"/>
      <c r="H14" s="208"/>
      <c r="I14" s="208"/>
      <c r="J14" s="205"/>
      <c r="K14" s="205"/>
      <c r="L14" s="205"/>
      <c r="M14" s="205"/>
      <c r="N14" s="205"/>
      <c r="O14" s="205"/>
      <c r="P14" s="205"/>
      <c r="Q14" s="205"/>
      <c r="R14" s="205"/>
      <c r="S14" s="205"/>
      <c r="T14" s="205"/>
      <c r="U14" s="205"/>
    </row>
    <row r="15" spans="1:21" s="9" customFormat="1" ht="6" customHeight="1" x14ac:dyDescent="0.25">
      <c r="A15" s="10"/>
    </row>
    <row r="16" spans="1:21" s="9" customFormat="1" ht="12" x14ac:dyDescent="0.25">
      <c r="A16" s="28" t="s">
        <v>8</v>
      </c>
      <c r="B16" s="8" t="s">
        <v>4</v>
      </c>
    </row>
    <row r="17" spans="1:21" s="9" customFormat="1" ht="6" customHeight="1" x14ac:dyDescent="0.25">
      <c r="A17" s="10"/>
    </row>
    <row r="18" spans="1:21" s="9" customFormat="1" ht="13.5" customHeight="1" x14ac:dyDescent="0.25">
      <c r="A18" s="10"/>
      <c r="B18" s="208" t="s">
        <v>50</v>
      </c>
      <c r="C18" s="208"/>
      <c r="D18" s="208"/>
      <c r="E18" s="208"/>
      <c r="F18" s="208"/>
      <c r="G18" s="208"/>
      <c r="H18" s="208"/>
      <c r="I18" s="208"/>
      <c r="J18" s="209"/>
      <c r="K18" s="209"/>
      <c r="L18" s="209"/>
      <c r="M18" s="209"/>
      <c r="N18" s="209"/>
      <c r="O18" s="209"/>
      <c r="P18" s="209"/>
      <c r="Q18" s="209"/>
      <c r="R18" s="209"/>
      <c r="S18" s="209"/>
      <c r="T18" s="209"/>
      <c r="U18" s="209"/>
    </row>
    <row r="19" spans="1:21" s="9" customFormat="1" ht="13.5" customHeight="1" x14ac:dyDescent="0.25">
      <c r="A19" s="10"/>
      <c r="B19" s="208" t="s">
        <v>53</v>
      </c>
      <c r="C19" s="208"/>
      <c r="D19" s="208"/>
      <c r="E19" s="208"/>
      <c r="F19" s="208"/>
      <c r="G19" s="208"/>
      <c r="H19" s="208"/>
      <c r="I19" s="208"/>
      <c r="J19" s="205"/>
      <c r="K19" s="205"/>
      <c r="L19" s="205"/>
      <c r="M19" s="205"/>
      <c r="N19" s="205"/>
      <c r="O19" s="205"/>
      <c r="P19" s="205"/>
      <c r="Q19" s="205"/>
      <c r="R19" s="205"/>
      <c r="S19" s="205"/>
      <c r="T19" s="205"/>
      <c r="U19" s="205"/>
    </row>
    <row r="20" spans="1:21" s="9" customFormat="1" ht="13.5" customHeight="1" x14ac:dyDescent="0.25">
      <c r="A20" s="10"/>
      <c r="B20" s="208" t="s">
        <v>54</v>
      </c>
      <c r="C20" s="208"/>
      <c r="D20" s="208"/>
      <c r="E20" s="208"/>
      <c r="F20" s="208"/>
      <c r="G20" s="208"/>
      <c r="H20" s="208"/>
      <c r="I20" s="208"/>
      <c r="J20" s="205"/>
      <c r="K20" s="205"/>
      <c r="L20" s="205"/>
      <c r="M20" s="205"/>
      <c r="N20" s="205"/>
      <c r="O20" s="205"/>
      <c r="P20" s="205"/>
      <c r="Q20" s="205"/>
      <c r="R20" s="205"/>
      <c r="S20" s="205"/>
      <c r="T20" s="205"/>
      <c r="U20" s="205"/>
    </row>
    <row r="21" spans="1:21" s="9" customFormat="1" ht="6" customHeight="1" x14ac:dyDescent="0.25">
      <c r="A21" s="10"/>
    </row>
    <row r="22" spans="1:21" s="9" customFormat="1" ht="12" x14ac:dyDescent="0.25">
      <c r="A22" s="28" t="s">
        <v>45</v>
      </c>
      <c r="B22" s="8" t="s">
        <v>46</v>
      </c>
    </row>
    <row r="23" spans="1:21" s="9" customFormat="1" ht="6" customHeight="1" x14ac:dyDescent="0.25">
      <c r="A23" s="10"/>
    </row>
    <row r="24" spans="1:21" s="9" customFormat="1" ht="13.5" customHeight="1" x14ac:dyDescent="0.25">
      <c r="A24" s="10"/>
      <c r="B24" s="208" t="s">
        <v>5</v>
      </c>
      <c r="C24" s="208"/>
      <c r="D24" s="208"/>
      <c r="E24" s="208"/>
      <c r="F24" s="208"/>
      <c r="G24" s="208"/>
      <c r="H24" s="208"/>
      <c r="I24" s="208"/>
      <c r="J24" s="209"/>
      <c r="K24" s="209"/>
      <c r="L24" s="209"/>
      <c r="M24" s="209"/>
      <c r="N24" s="209"/>
      <c r="O24" s="209"/>
      <c r="P24" s="209"/>
      <c r="Q24" s="209"/>
      <c r="R24" s="209"/>
      <c r="S24" s="209"/>
      <c r="T24" s="209"/>
      <c r="U24" s="209"/>
    </row>
    <row r="25" spans="1:21" s="9" customFormat="1" ht="13.5" customHeight="1" x14ac:dyDescent="0.25">
      <c r="A25" s="10"/>
      <c r="B25" s="208" t="s">
        <v>47</v>
      </c>
      <c r="C25" s="208"/>
      <c r="D25" s="208"/>
      <c r="E25" s="208"/>
      <c r="F25" s="208"/>
      <c r="G25" s="208"/>
      <c r="H25" s="208"/>
      <c r="I25" s="208"/>
      <c r="J25" s="205"/>
      <c r="K25" s="205"/>
      <c r="L25" s="205"/>
      <c r="M25" s="205"/>
      <c r="N25" s="205"/>
      <c r="O25" s="205"/>
      <c r="P25" s="205"/>
      <c r="Q25" s="205"/>
      <c r="R25" s="205"/>
      <c r="S25" s="205"/>
      <c r="T25" s="205"/>
      <c r="U25" s="205"/>
    </row>
    <row r="26" spans="1:21" s="31" customFormat="1" ht="11.25" customHeight="1" x14ac:dyDescent="0.25">
      <c r="A26" s="11"/>
      <c r="B26" s="12"/>
      <c r="C26" s="12"/>
      <c r="D26" s="12"/>
      <c r="E26" s="12"/>
      <c r="F26" s="12"/>
      <c r="G26" s="12"/>
      <c r="H26" s="12"/>
      <c r="I26" s="12"/>
      <c r="J26" s="30"/>
      <c r="K26" s="30"/>
      <c r="L26" s="30"/>
      <c r="M26" s="30"/>
      <c r="N26" s="30"/>
      <c r="O26" s="30"/>
      <c r="P26" s="30"/>
      <c r="Q26" s="30"/>
      <c r="R26" s="30"/>
      <c r="S26" s="30"/>
      <c r="T26" s="30"/>
      <c r="U26" s="30"/>
    </row>
    <row r="27" spans="1:21" s="9" customFormat="1" ht="12" x14ac:dyDescent="0.25">
      <c r="A27" s="210" t="s">
        <v>6</v>
      </c>
      <c r="B27" s="210"/>
      <c r="C27" s="210"/>
      <c r="D27" s="206" t="s">
        <v>48</v>
      </c>
      <c r="E27" s="206"/>
      <c r="F27" s="206"/>
      <c r="G27" s="206"/>
      <c r="H27" s="206"/>
      <c r="I27" s="206"/>
      <c r="J27" s="206"/>
      <c r="K27" s="206"/>
      <c r="L27" s="206"/>
      <c r="M27" s="210" t="s">
        <v>9</v>
      </c>
      <c r="N27" s="210"/>
      <c r="O27" s="210"/>
      <c r="P27" s="210"/>
      <c r="Q27" s="210"/>
      <c r="R27" s="210"/>
      <c r="S27" s="210"/>
      <c r="T27" s="210"/>
      <c r="U27" s="210"/>
    </row>
    <row r="28" spans="1:21" s="9" customFormat="1" ht="12" x14ac:dyDescent="0.25">
      <c r="A28" s="210" t="s">
        <v>10</v>
      </c>
      <c r="B28" s="210"/>
      <c r="C28" s="210"/>
      <c r="D28" s="210"/>
      <c r="E28" s="210"/>
      <c r="F28" s="210"/>
      <c r="G28" s="210"/>
      <c r="H28" s="210"/>
      <c r="I28" s="210"/>
      <c r="J28" s="210"/>
      <c r="K28" s="210"/>
      <c r="L28" s="210"/>
      <c r="M28" s="210"/>
      <c r="N28" s="210"/>
      <c r="O28" s="210"/>
      <c r="P28" s="210"/>
      <c r="Q28" s="210"/>
      <c r="R28" s="210"/>
      <c r="S28" s="210"/>
      <c r="T28" s="210"/>
      <c r="U28" s="210"/>
    </row>
    <row r="29" spans="1:21" s="9" customFormat="1" ht="6" customHeight="1" x14ac:dyDescent="0.25">
      <c r="A29" s="10"/>
    </row>
    <row r="30" spans="1:21" ht="33.75" customHeight="1" x14ac:dyDescent="0.25">
      <c r="A30" s="16" t="s">
        <v>15</v>
      </c>
      <c r="B30" s="202" t="s">
        <v>75</v>
      </c>
      <c r="C30" s="202"/>
      <c r="D30" s="202"/>
      <c r="E30" s="202"/>
      <c r="F30" s="202"/>
      <c r="G30" s="202"/>
      <c r="H30" s="202"/>
      <c r="I30" s="202"/>
      <c r="J30" s="202"/>
      <c r="K30" s="202"/>
      <c r="L30" s="202"/>
      <c r="M30" s="202"/>
      <c r="N30" s="202"/>
      <c r="O30" s="202"/>
      <c r="P30" s="202"/>
      <c r="Q30" s="202"/>
      <c r="R30" s="202"/>
      <c r="S30" s="202"/>
      <c r="T30" s="202"/>
      <c r="U30" s="202"/>
    </row>
    <row r="31" spans="1:21" ht="20.399999999999999" customHeight="1" x14ac:dyDescent="0.25">
      <c r="A31" s="17" t="s">
        <v>16</v>
      </c>
      <c r="B31" s="203" t="s">
        <v>74</v>
      </c>
      <c r="C31" s="203"/>
      <c r="D31" s="203"/>
      <c r="E31" s="203"/>
      <c r="F31" s="203"/>
      <c r="G31" s="203"/>
      <c r="H31" s="203"/>
      <c r="I31" s="203"/>
      <c r="J31" s="203"/>
      <c r="K31" s="203"/>
      <c r="L31" s="203"/>
      <c r="M31" s="203"/>
      <c r="N31" s="203"/>
      <c r="O31" s="203"/>
      <c r="P31" s="203"/>
      <c r="Q31" s="203"/>
      <c r="R31" s="203"/>
      <c r="S31" s="203"/>
      <c r="T31" s="203"/>
      <c r="U31" s="203"/>
    </row>
    <row r="32" spans="1:21" ht="20.399999999999999" customHeight="1" x14ac:dyDescent="0.25">
      <c r="A32" s="17" t="s">
        <v>17</v>
      </c>
      <c r="B32" s="203" t="s">
        <v>76</v>
      </c>
      <c r="C32" s="203"/>
      <c r="D32" s="203"/>
      <c r="E32" s="203"/>
      <c r="F32" s="203"/>
      <c r="G32" s="203"/>
      <c r="H32" s="203"/>
      <c r="I32" s="203"/>
      <c r="J32" s="203"/>
      <c r="K32" s="203"/>
      <c r="L32" s="203"/>
      <c r="M32" s="203"/>
      <c r="N32" s="203"/>
      <c r="O32" s="203"/>
      <c r="P32" s="203"/>
      <c r="Q32" s="203"/>
      <c r="R32" s="203"/>
      <c r="S32" s="203"/>
      <c r="T32" s="203"/>
      <c r="U32" s="203"/>
    </row>
    <row r="33" spans="1:22" ht="33.75" customHeight="1" x14ac:dyDescent="0.25">
      <c r="A33" s="17" t="s">
        <v>18</v>
      </c>
      <c r="B33" s="202" t="s">
        <v>55</v>
      </c>
      <c r="C33" s="202"/>
      <c r="D33" s="202"/>
      <c r="E33" s="202"/>
      <c r="F33" s="202"/>
      <c r="G33" s="202"/>
      <c r="H33" s="202"/>
      <c r="I33" s="202"/>
      <c r="J33" s="202"/>
      <c r="K33" s="202"/>
      <c r="L33" s="202"/>
      <c r="M33" s="202"/>
      <c r="N33" s="202"/>
      <c r="O33" s="202"/>
      <c r="P33" s="202"/>
      <c r="Q33" s="202"/>
      <c r="R33" s="202"/>
      <c r="S33" s="202"/>
      <c r="T33" s="202"/>
      <c r="U33" s="202"/>
    </row>
    <row r="34" spans="1:22" ht="45" customHeight="1" x14ac:dyDescent="0.25">
      <c r="A34" s="17" t="s">
        <v>19</v>
      </c>
      <c r="B34" s="202" t="s">
        <v>69</v>
      </c>
      <c r="C34" s="202"/>
      <c r="D34" s="202"/>
      <c r="E34" s="202"/>
      <c r="F34" s="202"/>
      <c r="G34" s="202"/>
      <c r="H34" s="202"/>
      <c r="I34" s="202"/>
      <c r="J34" s="202"/>
      <c r="K34" s="202"/>
      <c r="L34" s="202"/>
      <c r="M34" s="202"/>
      <c r="N34" s="202"/>
      <c r="O34" s="202"/>
      <c r="P34" s="202"/>
      <c r="Q34" s="202"/>
      <c r="R34" s="202"/>
      <c r="S34" s="202"/>
      <c r="T34" s="202"/>
      <c r="U34" s="202"/>
    </row>
    <row r="35" spans="1:22" ht="45.75" customHeight="1" x14ac:dyDescent="0.25">
      <c r="A35" s="17" t="s">
        <v>20</v>
      </c>
      <c r="B35" s="202" t="s">
        <v>72</v>
      </c>
      <c r="C35" s="202"/>
      <c r="D35" s="202"/>
      <c r="E35" s="202"/>
      <c r="F35" s="202"/>
      <c r="G35" s="202"/>
      <c r="H35" s="202"/>
      <c r="I35" s="202"/>
      <c r="J35" s="202"/>
      <c r="K35" s="202"/>
      <c r="L35" s="202"/>
      <c r="M35" s="202"/>
      <c r="N35" s="202"/>
      <c r="O35" s="202"/>
      <c r="P35" s="202"/>
      <c r="Q35" s="202"/>
      <c r="R35" s="202"/>
      <c r="S35" s="202"/>
      <c r="T35" s="202"/>
      <c r="U35" s="202"/>
    </row>
    <row r="36" spans="1:22" ht="33" customHeight="1" x14ac:dyDescent="0.25">
      <c r="A36" s="17" t="s">
        <v>21</v>
      </c>
      <c r="B36" s="202" t="s">
        <v>73</v>
      </c>
      <c r="C36" s="202"/>
      <c r="D36" s="202"/>
      <c r="E36" s="202"/>
      <c r="F36" s="202"/>
      <c r="G36" s="202"/>
      <c r="H36" s="202"/>
      <c r="I36" s="202"/>
      <c r="J36" s="202"/>
      <c r="K36" s="202"/>
      <c r="L36" s="202"/>
      <c r="M36" s="202"/>
      <c r="N36" s="202"/>
      <c r="O36" s="202"/>
      <c r="P36" s="202"/>
      <c r="Q36" s="202"/>
      <c r="R36" s="202"/>
      <c r="S36" s="202"/>
      <c r="T36" s="202"/>
      <c r="U36" s="202"/>
    </row>
    <row r="37" spans="1:22" x14ac:dyDescent="0.25">
      <c r="A37" s="17" t="s">
        <v>22</v>
      </c>
      <c r="B37" s="203" t="s">
        <v>57</v>
      </c>
      <c r="C37" s="203"/>
      <c r="D37" s="203"/>
      <c r="E37" s="203"/>
      <c r="F37" s="203"/>
      <c r="G37" s="203"/>
      <c r="H37" s="203"/>
      <c r="I37" s="203"/>
      <c r="J37" s="203"/>
      <c r="K37" s="203"/>
      <c r="L37" s="203"/>
      <c r="M37" s="203"/>
      <c r="N37" s="203"/>
      <c r="O37" s="203"/>
      <c r="P37" s="203"/>
      <c r="Q37" s="203"/>
      <c r="R37" s="203"/>
      <c r="S37" s="203"/>
      <c r="T37" s="203"/>
      <c r="U37" s="203"/>
    </row>
    <row r="38" spans="1:22" ht="22.5" customHeight="1" x14ac:dyDescent="0.25">
      <c r="A38" s="17" t="s">
        <v>23</v>
      </c>
      <c r="B38" s="202" t="s">
        <v>68</v>
      </c>
      <c r="C38" s="202"/>
      <c r="D38" s="202"/>
      <c r="E38" s="202"/>
      <c r="F38" s="202"/>
      <c r="G38" s="202"/>
      <c r="H38" s="202"/>
      <c r="I38" s="202"/>
      <c r="J38" s="202"/>
      <c r="K38" s="202"/>
      <c r="L38" s="202"/>
      <c r="M38" s="202"/>
      <c r="N38" s="202"/>
      <c r="O38" s="202"/>
      <c r="P38" s="202"/>
      <c r="Q38" s="202"/>
      <c r="R38" s="202"/>
      <c r="S38" s="202"/>
      <c r="T38" s="202"/>
      <c r="U38" s="202"/>
    </row>
    <row r="39" spans="1:22" x14ac:dyDescent="0.25">
      <c r="A39" s="17" t="s">
        <v>24</v>
      </c>
      <c r="B39" s="202" t="s">
        <v>56</v>
      </c>
      <c r="C39" s="203"/>
      <c r="D39" s="203"/>
      <c r="E39" s="203"/>
      <c r="F39" s="203"/>
      <c r="G39" s="203"/>
      <c r="H39" s="203"/>
      <c r="I39" s="203"/>
      <c r="J39" s="203"/>
      <c r="K39" s="203"/>
      <c r="L39" s="203"/>
      <c r="M39" s="203"/>
      <c r="N39" s="203"/>
      <c r="O39" s="203"/>
      <c r="P39" s="203"/>
      <c r="Q39" s="203"/>
      <c r="R39" s="203"/>
      <c r="S39" s="203"/>
      <c r="T39" s="203"/>
      <c r="U39" s="203"/>
    </row>
    <row r="40" spans="1:22" ht="9.6" customHeight="1" x14ac:dyDescent="0.25">
      <c r="A40" s="14"/>
      <c r="B40" s="15"/>
      <c r="C40" s="15"/>
      <c r="D40" s="15"/>
      <c r="E40" s="15"/>
      <c r="F40" s="15"/>
      <c r="G40" s="15"/>
      <c r="H40" s="15"/>
      <c r="I40" s="15"/>
      <c r="J40" s="15"/>
      <c r="K40" s="15"/>
      <c r="L40" s="15"/>
      <c r="M40" s="15"/>
      <c r="N40" s="15"/>
      <c r="O40" s="15"/>
      <c r="P40" s="15"/>
      <c r="Q40" s="15"/>
      <c r="R40" s="15"/>
      <c r="S40" s="15"/>
      <c r="T40" s="15"/>
      <c r="U40" s="15"/>
    </row>
    <row r="41" spans="1:22" ht="6.9" customHeight="1" x14ac:dyDescent="0.25">
      <c r="G41" s="6"/>
      <c r="H41" s="6"/>
      <c r="I41" s="6"/>
      <c r="J41" s="6"/>
      <c r="K41" s="6"/>
      <c r="L41" s="6"/>
      <c r="M41" s="6"/>
      <c r="N41" s="6"/>
      <c r="O41" s="6"/>
      <c r="P41" s="6"/>
      <c r="Q41" s="6"/>
    </row>
    <row r="42" spans="1:22" x14ac:dyDescent="0.25">
      <c r="G42" s="6"/>
      <c r="H42" s="204" t="s">
        <v>11</v>
      </c>
      <c r="I42" s="204"/>
      <c r="J42" s="204"/>
      <c r="K42" s="204"/>
      <c r="L42" s="204"/>
      <c r="M42" s="204"/>
      <c r="N42" s="204"/>
      <c r="O42" s="6"/>
      <c r="P42" s="6"/>
      <c r="Q42" s="6"/>
    </row>
    <row r="43" spans="1:22" ht="36" customHeight="1" x14ac:dyDescent="0.25">
      <c r="G43" s="6"/>
      <c r="H43" s="3" t="s">
        <v>12</v>
      </c>
      <c r="I43" s="3"/>
      <c r="J43" s="201"/>
      <c r="K43" s="201"/>
      <c r="L43" s="201"/>
      <c r="M43" s="201"/>
      <c r="N43" s="201"/>
      <c r="O43" s="201"/>
      <c r="P43" s="201"/>
      <c r="Q43" s="6"/>
    </row>
    <row r="44" spans="1:22" ht="24" customHeight="1" x14ac:dyDescent="0.25">
      <c r="G44" s="6"/>
      <c r="H44" s="3" t="s">
        <v>13</v>
      </c>
      <c r="I44" s="3"/>
      <c r="J44" s="201"/>
      <c r="K44" s="201"/>
      <c r="L44" s="201"/>
      <c r="M44" s="201"/>
      <c r="N44" s="201"/>
      <c r="O44" s="201"/>
      <c r="P44" s="201"/>
      <c r="Q44" s="6"/>
    </row>
    <row r="45" spans="1:22" ht="42" customHeight="1" x14ac:dyDescent="0.25">
      <c r="G45" s="6"/>
      <c r="H45" s="3" t="s">
        <v>14</v>
      </c>
      <c r="I45" s="3"/>
      <c r="J45" s="201"/>
      <c r="K45" s="201"/>
      <c r="L45" s="201"/>
      <c r="M45" s="201"/>
      <c r="N45" s="201"/>
      <c r="O45" s="201"/>
      <c r="P45" s="201"/>
      <c r="Q45" s="6"/>
    </row>
    <row r="46" spans="1:22" ht="11.4" customHeight="1" x14ac:dyDescent="0.25">
      <c r="U46" s="13"/>
      <c r="V46" s="13"/>
    </row>
    <row r="47" spans="1:22" ht="6.9" customHeight="1" x14ac:dyDescent="0.25">
      <c r="U47" s="13"/>
      <c r="V47" s="13"/>
    </row>
  </sheetData>
  <mergeCells count="50">
    <mergeCell ref="M27:U27"/>
    <mergeCell ref="A28:U28"/>
    <mergeCell ref="B20:I20"/>
    <mergeCell ref="J24:U24"/>
    <mergeCell ref="J25:U25"/>
    <mergeCell ref="Q1:S1"/>
    <mergeCell ref="Q2:S2"/>
    <mergeCell ref="Q3:S3"/>
    <mergeCell ref="T1:U1"/>
    <mergeCell ref="T2:U2"/>
    <mergeCell ref="T3:U3"/>
    <mergeCell ref="A1:E3"/>
    <mergeCell ref="F1:P1"/>
    <mergeCell ref="F2:P3"/>
    <mergeCell ref="B25:I25"/>
    <mergeCell ref="B13:I13"/>
    <mergeCell ref="B14:I14"/>
    <mergeCell ref="B18:I18"/>
    <mergeCell ref="B19:I19"/>
    <mergeCell ref="B9:I9"/>
    <mergeCell ref="B10:I10"/>
    <mergeCell ref="B11:I11"/>
    <mergeCell ref="B12:I12"/>
    <mergeCell ref="J13:U13"/>
    <mergeCell ref="J18:U18"/>
    <mergeCell ref="J19:U19"/>
    <mergeCell ref="J20:U20"/>
    <mergeCell ref="J14:U14"/>
    <mergeCell ref="D27:L27"/>
    <mergeCell ref="A5:U5"/>
    <mergeCell ref="J43:P43"/>
    <mergeCell ref="B31:U31"/>
    <mergeCell ref="B32:U32"/>
    <mergeCell ref="B30:U30"/>
    <mergeCell ref="B33:U33"/>
    <mergeCell ref="B34:U34"/>
    <mergeCell ref="B35:U35"/>
    <mergeCell ref="B24:I24"/>
    <mergeCell ref="J9:U9"/>
    <mergeCell ref="J10:U10"/>
    <mergeCell ref="J11:U11"/>
    <mergeCell ref="J12:U12"/>
    <mergeCell ref="A27:C27"/>
    <mergeCell ref="J44:P44"/>
    <mergeCell ref="J45:P45"/>
    <mergeCell ref="B36:U36"/>
    <mergeCell ref="B37:U37"/>
    <mergeCell ref="B38:U38"/>
    <mergeCell ref="B39:U39"/>
    <mergeCell ref="H42:N42"/>
  </mergeCells>
  <printOptions horizontalCentered="1"/>
  <pageMargins left="0.59055118110236227" right="0.59055118110236227" top="0.40625" bottom="0.39370078740157483" header="0.31496062992125984" footer="0.31496062992125984"/>
  <pageSetup orientation="portrait" r:id="rId1"/>
  <headerFooter>
    <oddFooter>&amp;R&amp;"Arial,Cursiva"&amp;9Página 2</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BE50"/>
  <sheetViews>
    <sheetView topLeftCell="A6" zoomScaleNormal="100" workbookViewId="0">
      <selection activeCell="P10" sqref="P10:R10"/>
    </sheetView>
  </sheetViews>
  <sheetFormatPr baseColWidth="10" defaultColWidth="10.88671875" defaultRowHeight="13.2" outlineLevelCol="1" x14ac:dyDescent="0.25"/>
  <cols>
    <col min="1" max="1" width="4.5546875" style="2" customWidth="1"/>
    <col min="2" max="4" width="4.44140625" style="2" customWidth="1"/>
    <col min="5" max="9" width="4.6640625" style="2" customWidth="1"/>
    <col min="10" max="10" width="4.44140625" style="2" customWidth="1"/>
    <col min="11" max="11" width="5.109375" style="2" customWidth="1"/>
    <col min="12" max="13" width="3.88671875" style="2" customWidth="1"/>
    <col min="14" max="14" width="5.109375" style="2" customWidth="1"/>
    <col min="15" max="15" width="5" style="2" customWidth="1"/>
    <col min="16" max="21" width="4" style="2" customWidth="1"/>
    <col min="22" max="24" width="3.44140625" style="2" hidden="1" customWidth="1" outlineLevel="1"/>
    <col min="25" max="25" width="4" style="2" customWidth="1" collapsed="1"/>
    <col min="26" max="28" width="3.5546875" style="2" customWidth="1"/>
    <col min="29" max="29" width="4" style="2" customWidth="1"/>
    <col min="30" max="30" width="4.33203125" style="2" customWidth="1"/>
    <col min="31" max="32" width="3.44140625" style="2" hidden="1" customWidth="1" outlineLevel="1"/>
    <col min="33" max="33" width="0.33203125" style="2" hidden="1" customWidth="1" outlineLevel="1"/>
    <col min="34" max="34" width="4.109375" style="2" customWidth="1" collapsed="1"/>
    <col min="35" max="35" width="4.44140625" style="2" customWidth="1"/>
    <col min="36" max="38" width="3.5546875" style="2" customWidth="1"/>
    <col min="39" max="39" width="4.44140625" style="2" customWidth="1"/>
    <col min="40" max="42" width="3.44140625" style="2" hidden="1" customWidth="1" outlineLevel="1"/>
    <col min="43" max="43" width="10.88671875" style="2" collapsed="1"/>
    <col min="44" max="16384" width="10.88671875" style="2"/>
  </cols>
  <sheetData>
    <row r="1" spans="1:57" x14ac:dyDescent="0.25">
      <c r="A1" s="382"/>
      <c r="B1" s="382"/>
      <c r="C1" s="382"/>
      <c r="D1" s="382"/>
      <c r="E1" s="382"/>
      <c r="F1" s="382"/>
      <c r="G1" s="382"/>
      <c r="H1" s="383" t="s">
        <v>41</v>
      </c>
      <c r="I1" s="384"/>
      <c r="J1" s="384"/>
      <c r="K1" s="384"/>
      <c r="L1" s="384"/>
      <c r="M1" s="384"/>
      <c r="N1" s="384"/>
      <c r="O1" s="384"/>
      <c r="P1" s="384"/>
      <c r="Q1" s="384"/>
      <c r="R1" s="384"/>
      <c r="S1" s="384"/>
      <c r="T1" s="384"/>
      <c r="U1" s="384"/>
      <c r="V1" s="384"/>
      <c r="W1" s="384"/>
      <c r="X1" s="384"/>
      <c r="Y1" s="384"/>
      <c r="Z1" s="384"/>
      <c r="AA1" s="384"/>
      <c r="AB1" s="384"/>
      <c r="AC1" s="385"/>
      <c r="AD1" s="386" t="s">
        <v>34</v>
      </c>
      <c r="AE1" s="387"/>
      <c r="AF1" s="387"/>
      <c r="AG1" s="387"/>
      <c r="AH1" s="387"/>
      <c r="AI1" s="387"/>
      <c r="AJ1" s="388" t="s">
        <v>64</v>
      </c>
      <c r="AK1" s="388"/>
      <c r="AL1" s="388"/>
      <c r="AM1" s="389"/>
      <c r="BE1" s="6"/>
    </row>
    <row r="2" spans="1:57" x14ac:dyDescent="0.25">
      <c r="A2" s="382"/>
      <c r="B2" s="382"/>
      <c r="C2" s="382"/>
      <c r="D2" s="382"/>
      <c r="E2" s="382"/>
      <c r="F2" s="382"/>
      <c r="G2" s="382"/>
      <c r="H2" s="390" t="s">
        <v>77</v>
      </c>
      <c r="I2" s="376"/>
      <c r="J2" s="376"/>
      <c r="K2" s="376"/>
      <c r="L2" s="376"/>
      <c r="M2" s="376"/>
      <c r="N2" s="376"/>
      <c r="O2" s="376"/>
      <c r="P2" s="376"/>
      <c r="Q2" s="376"/>
      <c r="R2" s="376"/>
      <c r="S2" s="376"/>
      <c r="T2" s="376"/>
      <c r="U2" s="376"/>
      <c r="V2" s="376"/>
      <c r="W2" s="376"/>
      <c r="X2" s="376"/>
      <c r="Y2" s="376"/>
      <c r="Z2" s="376"/>
      <c r="AA2" s="376"/>
      <c r="AB2" s="376"/>
      <c r="AC2" s="391"/>
      <c r="AD2" s="386" t="s">
        <v>35</v>
      </c>
      <c r="AE2" s="387"/>
      <c r="AF2" s="387"/>
      <c r="AG2" s="387"/>
      <c r="AH2" s="387"/>
      <c r="AI2" s="387"/>
      <c r="AJ2" s="395" t="s">
        <v>78</v>
      </c>
      <c r="AK2" s="388"/>
      <c r="AL2" s="388"/>
      <c r="AM2" s="389"/>
    </row>
    <row r="3" spans="1:57" x14ac:dyDescent="0.25">
      <c r="A3" s="382"/>
      <c r="B3" s="382"/>
      <c r="C3" s="382"/>
      <c r="D3" s="382"/>
      <c r="E3" s="382"/>
      <c r="F3" s="382"/>
      <c r="G3" s="382"/>
      <c r="H3" s="392"/>
      <c r="I3" s="393"/>
      <c r="J3" s="393"/>
      <c r="K3" s="393"/>
      <c r="L3" s="393"/>
      <c r="M3" s="393"/>
      <c r="N3" s="393"/>
      <c r="O3" s="393"/>
      <c r="P3" s="393"/>
      <c r="Q3" s="393"/>
      <c r="R3" s="393"/>
      <c r="S3" s="393"/>
      <c r="T3" s="393"/>
      <c r="U3" s="393"/>
      <c r="V3" s="393"/>
      <c r="W3" s="393"/>
      <c r="X3" s="393"/>
      <c r="Y3" s="393"/>
      <c r="Z3" s="393"/>
      <c r="AA3" s="393"/>
      <c r="AB3" s="393"/>
      <c r="AC3" s="394"/>
      <c r="AD3" s="386" t="s">
        <v>36</v>
      </c>
      <c r="AE3" s="387"/>
      <c r="AF3" s="387"/>
      <c r="AG3" s="387"/>
      <c r="AH3" s="387"/>
      <c r="AI3" s="387"/>
      <c r="AJ3" s="396">
        <v>43159</v>
      </c>
      <c r="AK3" s="396"/>
      <c r="AL3" s="396"/>
      <c r="AM3" s="397"/>
    </row>
    <row r="4" spans="1:57" ht="9" customHeight="1" thickBot="1" x14ac:dyDescent="0.3"/>
    <row r="5" spans="1:57" ht="20.25" customHeight="1" thickTop="1" thickBot="1" x14ac:dyDescent="0.3">
      <c r="A5" s="371" t="s">
        <v>25</v>
      </c>
      <c r="B5" s="372"/>
      <c r="C5" s="372"/>
      <c r="D5" s="372"/>
      <c r="E5" s="373" t="e">
        <f>+#REF!</f>
        <v>#REF!</v>
      </c>
      <c r="F5" s="374"/>
      <c r="G5" s="374"/>
      <c r="H5" s="374"/>
      <c r="I5" s="375"/>
      <c r="K5" s="376"/>
      <c r="L5" s="376"/>
      <c r="M5" s="376"/>
      <c r="N5" s="376"/>
      <c r="O5" s="376"/>
      <c r="P5" s="376"/>
      <c r="Q5" s="376"/>
      <c r="R5" s="185"/>
      <c r="S5" s="185"/>
      <c r="T5" s="185"/>
      <c r="U5" s="185"/>
      <c r="V5" s="185"/>
      <c r="W5" s="185"/>
      <c r="X5" s="185"/>
      <c r="Y5" s="185"/>
      <c r="Z5" s="185"/>
      <c r="AA5" s="185"/>
      <c r="AB5" s="185"/>
    </row>
    <row r="6" spans="1:57" ht="7.5" customHeight="1" thickTop="1" x14ac:dyDescent="0.25">
      <c r="A6" s="32"/>
      <c r="B6" s="32"/>
      <c r="C6" s="32"/>
      <c r="D6" s="32"/>
      <c r="E6" s="32"/>
      <c r="F6" s="32"/>
      <c r="G6" s="32"/>
      <c r="H6" s="32"/>
      <c r="I6" s="32"/>
      <c r="J6" s="32"/>
      <c r="K6" s="32"/>
      <c r="L6" s="32"/>
      <c r="M6" s="32"/>
      <c r="N6" s="32"/>
      <c r="O6" s="32"/>
    </row>
    <row r="7" spans="1:57" ht="37.5" customHeight="1" x14ac:dyDescent="0.25">
      <c r="B7" s="33"/>
      <c r="C7" s="33"/>
      <c r="D7" s="33"/>
      <c r="E7" s="33"/>
      <c r="F7" s="33"/>
      <c r="G7" s="33"/>
      <c r="H7" s="377" t="s">
        <v>79</v>
      </c>
      <c r="I7" s="377"/>
      <c r="J7" s="377"/>
      <c r="K7" s="377"/>
      <c r="L7" s="377"/>
      <c r="M7" s="377"/>
      <c r="N7" s="378" t="s">
        <v>80</v>
      </c>
      <c r="O7" s="378"/>
      <c r="P7" s="34" t="s">
        <v>81</v>
      </c>
      <c r="Q7" s="379"/>
      <c r="R7" s="380"/>
      <c r="S7" s="380"/>
      <c r="T7" s="380"/>
      <c r="U7" s="380"/>
      <c r="V7" s="35"/>
      <c r="W7" s="35"/>
      <c r="X7" s="36"/>
      <c r="Y7" s="34" t="s">
        <v>82</v>
      </c>
      <c r="Z7" s="379"/>
      <c r="AA7" s="380"/>
      <c r="AB7" s="380"/>
      <c r="AC7" s="380"/>
      <c r="AD7" s="380"/>
      <c r="AE7" s="380"/>
      <c r="AF7" s="380"/>
      <c r="AG7" s="381"/>
      <c r="AH7" s="34" t="s">
        <v>83</v>
      </c>
      <c r="AI7" s="379"/>
      <c r="AJ7" s="380"/>
      <c r="AK7" s="380"/>
      <c r="AL7" s="380"/>
      <c r="AM7" s="381"/>
      <c r="AN7" s="37"/>
      <c r="AO7" s="37"/>
      <c r="AP7" s="38"/>
    </row>
    <row r="8" spans="1:57" ht="20.25" customHeight="1" x14ac:dyDescent="0.25">
      <c r="A8" s="358" t="s">
        <v>84</v>
      </c>
      <c r="B8" s="360" t="s">
        <v>26</v>
      </c>
      <c r="C8" s="360"/>
      <c r="D8" s="360"/>
      <c r="E8" s="360"/>
      <c r="F8" s="360"/>
      <c r="G8" s="360"/>
      <c r="H8" s="360"/>
      <c r="I8" s="360"/>
      <c r="J8" s="360"/>
      <c r="K8" s="362" t="s">
        <v>27</v>
      </c>
      <c r="L8" s="364" t="s">
        <v>51</v>
      </c>
      <c r="M8" s="364"/>
      <c r="N8" s="362" t="s">
        <v>85</v>
      </c>
      <c r="O8" s="366"/>
      <c r="P8" s="367"/>
      <c r="Q8" s="368"/>
      <c r="R8" s="368"/>
      <c r="S8" s="368"/>
      <c r="T8" s="368"/>
      <c r="U8" s="369"/>
      <c r="V8" s="141"/>
      <c r="W8" s="142"/>
      <c r="X8" s="143"/>
      <c r="Y8" s="367"/>
      <c r="Z8" s="368"/>
      <c r="AA8" s="368"/>
      <c r="AB8" s="368"/>
      <c r="AC8" s="368"/>
      <c r="AD8" s="369"/>
      <c r="AE8" s="144"/>
      <c r="AF8" s="144"/>
      <c r="AG8" s="145"/>
      <c r="AH8" s="367"/>
      <c r="AI8" s="368"/>
      <c r="AJ8" s="368"/>
      <c r="AK8" s="368"/>
      <c r="AL8" s="368"/>
      <c r="AM8" s="369"/>
      <c r="AN8" s="39"/>
      <c r="AO8" s="39"/>
      <c r="AP8" s="40"/>
    </row>
    <row r="9" spans="1:57" s="41" customFormat="1" ht="26.25" customHeight="1" x14ac:dyDescent="0.25">
      <c r="A9" s="359"/>
      <c r="B9" s="361"/>
      <c r="C9" s="361"/>
      <c r="D9" s="361"/>
      <c r="E9" s="361"/>
      <c r="F9" s="361"/>
      <c r="G9" s="361"/>
      <c r="H9" s="361"/>
      <c r="I9" s="361"/>
      <c r="J9" s="361"/>
      <c r="K9" s="363"/>
      <c r="L9" s="365"/>
      <c r="M9" s="365"/>
      <c r="N9" s="365" t="s">
        <v>86</v>
      </c>
      <c r="O9" s="370"/>
      <c r="P9" s="285" t="s">
        <v>87</v>
      </c>
      <c r="Q9" s="286"/>
      <c r="R9" s="353"/>
      <c r="S9" s="354" t="s">
        <v>88</v>
      </c>
      <c r="T9" s="286"/>
      <c r="U9" s="353"/>
      <c r="V9" s="355" t="s">
        <v>89</v>
      </c>
      <c r="W9" s="355"/>
      <c r="X9" s="356"/>
      <c r="Y9" s="285" t="s">
        <v>87</v>
      </c>
      <c r="Z9" s="286"/>
      <c r="AA9" s="353"/>
      <c r="AB9" s="354" t="s">
        <v>88</v>
      </c>
      <c r="AC9" s="286"/>
      <c r="AD9" s="353"/>
      <c r="AE9" s="355" t="s">
        <v>89</v>
      </c>
      <c r="AF9" s="355"/>
      <c r="AG9" s="356"/>
      <c r="AH9" s="285" t="s">
        <v>87</v>
      </c>
      <c r="AI9" s="286"/>
      <c r="AJ9" s="353"/>
      <c r="AK9" s="354" t="s">
        <v>88</v>
      </c>
      <c r="AL9" s="286"/>
      <c r="AM9" s="287"/>
      <c r="AN9" s="344" t="s">
        <v>89</v>
      </c>
      <c r="AO9" s="345"/>
      <c r="AP9" s="346"/>
      <c r="AQ9" s="57"/>
      <c r="AT9" s="42"/>
    </row>
    <row r="10" spans="1:57" s="43" customFormat="1" ht="21" customHeight="1" x14ac:dyDescent="0.25">
      <c r="A10" s="149" t="e">
        <f>+#REF!</f>
        <v>#REF!</v>
      </c>
      <c r="B10" s="340" t="e">
        <f>+#REF!</f>
        <v>#REF!</v>
      </c>
      <c r="C10" s="341"/>
      <c r="D10" s="341"/>
      <c r="E10" s="341"/>
      <c r="F10" s="341"/>
      <c r="G10" s="341"/>
      <c r="H10" s="341"/>
      <c r="I10" s="341"/>
      <c r="J10" s="342"/>
      <c r="K10" s="146" t="e">
        <f>+#REF!</f>
        <v>#REF!</v>
      </c>
      <c r="L10" s="343" t="e">
        <f>+#REF!</f>
        <v>#REF!</v>
      </c>
      <c r="M10" s="343"/>
      <c r="N10" s="338"/>
      <c r="O10" s="347"/>
      <c r="P10" s="348"/>
      <c r="Q10" s="349"/>
      <c r="R10" s="350"/>
      <c r="S10" s="334" t="e">
        <f t="shared" ref="S10:S12" si="0">+P10*K10</f>
        <v>#REF!</v>
      </c>
      <c r="T10" s="335"/>
      <c r="U10" s="336"/>
      <c r="V10" s="334"/>
      <c r="W10" s="335"/>
      <c r="X10" s="339"/>
      <c r="Y10" s="351"/>
      <c r="Z10" s="352"/>
      <c r="AA10" s="352"/>
      <c r="AB10" s="352" t="e">
        <f>+Y10*K10</f>
        <v>#REF!</v>
      </c>
      <c r="AC10" s="352"/>
      <c r="AD10" s="352"/>
      <c r="AE10" s="334"/>
      <c r="AF10" s="335"/>
      <c r="AG10" s="339"/>
      <c r="AH10" s="348"/>
      <c r="AI10" s="349"/>
      <c r="AJ10" s="350"/>
      <c r="AK10" s="334" t="e">
        <f>+AH10*K10</f>
        <v>#REF!</v>
      </c>
      <c r="AL10" s="335"/>
      <c r="AM10" s="339"/>
      <c r="AN10" s="357"/>
      <c r="AO10" s="357"/>
      <c r="AP10" s="357"/>
      <c r="AQ10" s="58"/>
    </row>
    <row r="11" spans="1:57" s="43" customFormat="1" ht="21" customHeight="1" x14ac:dyDescent="0.25">
      <c r="A11" s="149" t="e">
        <f>+#REF!</f>
        <v>#REF!</v>
      </c>
      <c r="B11" s="340" t="e">
        <f>+#REF!</f>
        <v>#REF!</v>
      </c>
      <c r="C11" s="341"/>
      <c r="D11" s="341"/>
      <c r="E11" s="341"/>
      <c r="F11" s="341"/>
      <c r="G11" s="341"/>
      <c r="H11" s="341"/>
      <c r="I11" s="341"/>
      <c r="J11" s="342"/>
      <c r="K11" s="146" t="e">
        <f>+#REF!</f>
        <v>#REF!</v>
      </c>
      <c r="L11" s="343" t="e">
        <f>+#REF!</f>
        <v>#REF!</v>
      </c>
      <c r="M11" s="343"/>
      <c r="N11" s="334"/>
      <c r="O11" s="339"/>
      <c r="P11" s="337"/>
      <c r="Q11" s="335"/>
      <c r="R11" s="336"/>
      <c r="S11" s="334" t="e">
        <f t="shared" si="0"/>
        <v>#REF!</v>
      </c>
      <c r="T11" s="335"/>
      <c r="U11" s="336"/>
      <c r="V11" s="147"/>
      <c r="W11" s="147"/>
      <c r="X11" s="148"/>
      <c r="Y11" s="337"/>
      <c r="Z11" s="335"/>
      <c r="AA11" s="336"/>
      <c r="AB11" s="338" t="e">
        <f t="shared" ref="AB11:AB12" si="1">+Y11*K11</f>
        <v>#REF!</v>
      </c>
      <c r="AC11" s="338"/>
      <c r="AD11" s="338"/>
      <c r="AE11" s="147"/>
      <c r="AF11" s="147"/>
      <c r="AG11" s="148"/>
      <c r="AH11" s="337"/>
      <c r="AI11" s="335"/>
      <c r="AJ11" s="336"/>
      <c r="AK11" s="334" t="e">
        <f t="shared" ref="AK11:AK12" si="2">+AH11*K11</f>
        <v>#REF!</v>
      </c>
      <c r="AL11" s="335"/>
      <c r="AM11" s="339"/>
      <c r="AN11" s="44"/>
      <c r="AO11" s="44"/>
      <c r="AP11" s="44"/>
      <c r="AQ11" s="58"/>
    </row>
    <row r="12" spans="1:57" s="43" customFormat="1" ht="21" customHeight="1" x14ac:dyDescent="0.25">
      <c r="A12" s="149" t="e">
        <f>+#REF!</f>
        <v>#REF!</v>
      </c>
      <c r="B12" s="340" t="e">
        <f>+#REF!</f>
        <v>#REF!</v>
      </c>
      <c r="C12" s="341"/>
      <c r="D12" s="341"/>
      <c r="E12" s="341"/>
      <c r="F12" s="341"/>
      <c r="G12" s="341"/>
      <c r="H12" s="341"/>
      <c r="I12" s="341"/>
      <c r="J12" s="342"/>
      <c r="K12" s="146" t="e">
        <f>+#REF!</f>
        <v>#REF!</v>
      </c>
      <c r="L12" s="343" t="e">
        <f>+#REF!</f>
        <v>#REF!</v>
      </c>
      <c r="M12" s="343"/>
      <c r="N12" s="334"/>
      <c r="O12" s="339"/>
      <c r="P12" s="337"/>
      <c r="Q12" s="335"/>
      <c r="R12" s="336"/>
      <c r="S12" s="334" t="e">
        <f t="shared" si="0"/>
        <v>#REF!</v>
      </c>
      <c r="T12" s="335"/>
      <c r="U12" s="336"/>
      <c r="V12" s="147"/>
      <c r="W12" s="147"/>
      <c r="X12" s="148"/>
      <c r="Y12" s="337"/>
      <c r="Z12" s="335"/>
      <c r="AA12" s="336"/>
      <c r="AB12" s="338" t="e">
        <f t="shared" si="1"/>
        <v>#REF!</v>
      </c>
      <c r="AC12" s="338"/>
      <c r="AD12" s="338"/>
      <c r="AE12" s="147"/>
      <c r="AF12" s="147"/>
      <c r="AG12" s="148"/>
      <c r="AH12" s="337"/>
      <c r="AI12" s="335"/>
      <c r="AJ12" s="336"/>
      <c r="AK12" s="334" t="e">
        <f t="shared" si="2"/>
        <v>#REF!</v>
      </c>
      <c r="AL12" s="335"/>
      <c r="AM12" s="339"/>
      <c r="AN12" s="44"/>
      <c r="AO12" s="44"/>
      <c r="AP12" s="44"/>
      <c r="AQ12" s="58"/>
    </row>
    <row r="13" spans="1:57" s="41" customFormat="1" ht="28.5" customHeight="1" x14ac:dyDescent="0.25">
      <c r="L13" s="315" t="s">
        <v>108</v>
      </c>
      <c r="M13" s="316"/>
      <c r="N13" s="316"/>
      <c r="O13" s="317"/>
      <c r="P13" s="318" t="str">
        <f>+N7</f>
        <v>BS</v>
      </c>
      <c r="Q13" s="319"/>
      <c r="R13" s="320" t="e">
        <f>SUM(S10:X13)</f>
        <v>#REF!</v>
      </c>
      <c r="S13" s="320"/>
      <c r="T13" s="320"/>
      <c r="U13" s="321"/>
      <c r="V13" s="45"/>
      <c r="W13" s="45"/>
      <c r="X13" s="45"/>
      <c r="Y13" s="318" t="str">
        <f>+P13</f>
        <v>BS</v>
      </c>
      <c r="Z13" s="319"/>
      <c r="AA13" s="320" t="e">
        <f>SUM(AB10:AD12)</f>
        <v>#REF!</v>
      </c>
      <c r="AB13" s="320"/>
      <c r="AC13" s="320"/>
      <c r="AD13" s="321"/>
      <c r="AE13" s="45"/>
      <c r="AF13" s="45"/>
      <c r="AG13" s="45"/>
      <c r="AH13" s="318" t="str">
        <f>+Y13</f>
        <v>BS</v>
      </c>
      <c r="AI13" s="319"/>
      <c r="AJ13" s="320" t="e">
        <f>SUM(AK10:AP12)</f>
        <v>#REF!</v>
      </c>
      <c r="AK13" s="320"/>
      <c r="AL13" s="320"/>
      <c r="AM13" s="321"/>
    </row>
    <row r="14" spans="1:57" s="41" customFormat="1" ht="28.5" customHeight="1" x14ac:dyDescent="0.25">
      <c r="L14" s="315" t="s">
        <v>109</v>
      </c>
      <c r="M14" s="332"/>
      <c r="N14" s="332"/>
      <c r="O14" s="333"/>
      <c r="P14" s="318" t="str">
        <f>+P13</f>
        <v>BS</v>
      </c>
      <c r="Q14" s="319"/>
      <c r="R14" s="320">
        <v>0</v>
      </c>
      <c r="S14" s="320"/>
      <c r="T14" s="320"/>
      <c r="U14" s="321"/>
      <c r="V14" s="45"/>
      <c r="W14" s="45"/>
      <c r="X14" s="45"/>
      <c r="Y14" s="318" t="str">
        <f>+P14</f>
        <v>BS</v>
      </c>
      <c r="Z14" s="319"/>
      <c r="AA14" s="320">
        <v>0</v>
      </c>
      <c r="AB14" s="320"/>
      <c r="AC14" s="320"/>
      <c r="AD14" s="321"/>
      <c r="AE14" s="45"/>
      <c r="AF14" s="45"/>
      <c r="AG14" s="45"/>
      <c r="AH14" s="318" t="str">
        <f>+Y14</f>
        <v>BS</v>
      </c>
      <c r="AI14" s="319"/>
      <c r="AJ14" s="320">
        <v>0</v>
      </c>
      <c r="AK14" s="320"/>
      <c r="AL14" s="320"/>
      <c r="AM14" s="321"/>
    </row>
    <row r="15" spans="1:57" s="41" customFormat="1" ht="13.8" x14ac:dyDescent="0.25">
      <c r="A15" s="46"/>
      <c r="B15" s="46"/>
      <c r="C15" s="46"/>
      <c r="D15" s="46"/>
      <c r="E15" s="46"/>
      <c r="F15" s="46"/>
      <c r="G15" s="46"/>
      <c r="H15" s="46"/>
      <c r="I15" s="46"/>
      <c r="J15" s="46"/>
      <c r="K15" s="46"/>
      <c r="L15" s="46"/>
      <c r="M15" s="46"/>
      <c r="N15" s="46"/>
      <c r="O15" s="46"/>
    </row>
    <row r="16" spans="1:57" s="41" customFormat="1" ht="13.8" x14ac:dyDescent="0.25">
      <c r="A16" s="282" t="s">
        <v>28</v>
      </c>
      <c r="B16" s="283"/>
      <c r="C16" s="283"/>
      <c r="D16" s="283"/>
      <c r="E16" s="283"/>
      <c r="F16" s="283"/>
      <c r="G16" s="283"/>
      <c r="H16" s="283"/>
      <c r="I16" s="283"/>
      <c r="J16" s="283"/>
      <c r="K16" s="283"/>
      <c r="L16" s="283"/>
      <c r="M16" s="283"/>
      <c r="N16" s="283"/>
      <c r="O16" s="284"/>
      <c r="P16" s="285" t="s">
        <v>29</v>
      </c>
      <c r="Q16" s="286"/>
      <c r="R16" s="286"/>
      <c r="S16" s="286"/>
      <c r="T16" s="286"/>
      <c r="U16" s="287"/>
      <c r="V16" s="137"/>
      <c r="W16" s="138"/>
      <c r="X16" s="139"/>
      <c r="Y16" s="285" t="s">
        <v>29</v>
      </c>
      <c r="Z16" s="286"/>
      <c r="AA16" s="286"/>
      <c r="AB16" s="286"/>
      <c r="AC16" s="286"/>
      <c r="AD16" s="287"/>
      <c r="AE16" s="137"/>
      <c r="AF16" s="138"/>
      <c r="AG16" s="139"/>
      <c r="AH16" s="285" t="s">
        <v>29</v>
      </c>
      <c r="AI16" s="286"/>
      <c r="AJ16" s="286"/>
      <c r="AK16" s="286"/>
      <c r="AL16" s="286"/>
      <c r="AM16" s="287"/>
      <c r="AN16" s="47"/>
      <c r="AO16" s="48"/>
      <c r="AP16" s="48"/>
    </row>
    <row r="17" spans="1:44" s="41" customFormat="1" ht="20.25" customHeight="1" x14ac:dyDescent="0.25">
      <c r="A17" s="322" t="s">
        <v>90</v>
      </c>
      <c r="B17" s="323"/>
      <c r="C17" s="323"/>
      <c r="D17" s="323"/>
      <c r="E17" s="323"/>
      <c r="F17" s="323"/>
      <c r="G17" s="323"/>
      <c r="H17" s="323"/>
      <c r="I17" s="324" t="s">
        <v>91</v>
      </c>
      <c r="J17" s="324"/>
      <c r="K17" s="324"/>
      <c r="L17" s="324"/>
      <c r="M17" s="324"/>
      <c r="N17" s="324"/>
      <c r="O17" s="325"/>
      <c r="P17" s="326"/>
      <c r="Q17" s="327"/>
      <c r="R17" s="327"/>
      <c r="S17" s="327"/>
      <c r="T17" s="327"/>
      <c r="U17" s="328"/>
      <c r="V17" s="150"/>
      <c r="W17" s="151"/>
      <c r="X17" s="152"/>
      <c r="Y17" s="326"/>
      <c r="Z17" s="327"/>
      <c r="AA17" s="327"/>
      <c r="AB17" s="327"/>
      <c r="AC17" s="327"/>
      <c r="AD17" s="328"/>
      <c r="AE17" s="150"/>
      <c r="AF17" s="151"/>
      <c r="AG17" s="152"/>
      <c r="AH17" s="329"/>
      <c r="AI17" s="330"/>
      <c r="AJ17" s="330"/>
      <c r="AK17" s="330"/>
      <c r="AL17" s="330"/>
      <c r="AM17" s="331"/>
      <c r="AN17" s="49"/>
      <c r="AO17" s="50"/>
      <c r="AP17" s="50"/>
    </row>
    <row r="18" spans="1:44" s="41" customFormat="1" ht="20.25" customHeight="1" x14ac:dyDescent="0.25">
      <c r="A18" s="294" t="s">
        <v>30</v>
      </c>
      <c r="B18" s="295"/>
      <c r="C18" s="295"/>
      <c r="D18" s="295"/>
      <c r="E18" s="295"/>
      <c r="F18" s="295"/>
      <c r="G18" s="295"/>
      <c r="H18" s="295"/>
      <c r="I18" s="296" t="e">
        <f>#REF!</f>
        <v>#REF!</v>
      </c>
      <c r="J18" s="296"/>
      <c r="K18" s="296"/>
      <c r="L18" s="296"/>
      <c r="M18" s="296"/>
      <c r="N18" s="296"/>
      <c r="O18" s="297"/>
      <c r="P18" s="311">
        <v>30</v>
      </c>
      <c r="Q18" s="312"/>
      <c r="R18" s="313" t="s">
        <v>166</v>
      </c>
      <c r="S18" s="313"/>
      <c r="T18" s="313"/>
      <c r="U18" s="314"/>
      <c r="V18" s="153"/>
      <c r="W18" s="154"/>
      <c r="X18" s="155"/>
      <c r="Y18" s="311"/>
      <c r="Z18" s="312"/>
      <c r="AA18" s="313" t="s">
        <v>166</v>
      </c>
      <c r="AB18" s="313"/>
      <c r="AC18" s="313"/>
      <c r="AD18" s="314"/>
      <c r="AE18" s="153"/>
      <c r="AF18" s="154"/>
      <c r="AG18" s="155"/>
      <c r="AH18" s="311"/>
      <c r="AI18" s="312"/>
      <c r="AJ18" s="313" t="s">
        <v>166</v>
      </c>
      <c r="AK18" s="313"/>
      <c r="AL18" s="313"/>
      <c r="AM18" s="314"/>
      <c r="AN18" s="51"/>
      <c r="AO18" s="52"/>
      <c r="AP18" s="52"/>
      <c r="AR18" s="60" t="s">
        <v>111</v>
      </c>
    </row>
    <row r="19" spans="1:44" s="41" customFormat="1" ht="25.5" customHeight="1" x14ac:dyDescent="0.25">
      <c r="A19" s="294" t="s">
        <v>92</v>
      </c>
      <c r="B19" s="295"/>
      <c r="C19" s="295"/>
      <c r="D19" s="295"/>
      <c r="E19" s="295"/>
      <c r="F19" s="295"/>
      <c r="G19" s="295"/>
      <c r="H19" s="295"/>
      <c r="I19" s="296" t="e">
        <f>+#REF!</f>
        <v>#REF!</v>
      </c>
      <c r="J19" s="296"/>
      <c r="K19" s="296"/>
      <c r="L19" s="296"/>
      <c r="M19" s="296"/>
      <c r="N19" s="296"/>
      <c r="O19" s="297"/>
      <c r="P19" s="301" t="s">
        <v>113</v>
      </c>
      <c r="Q19" s="302"/>
      <c r="R19" s="302"/>
      <c r="S19" s="302"/>
      <c r="T19" s="302"/>
      <c r="U19" s="303"/>
      <c r="V19" s="153"/>
      <c r="W19" s="154"/>
      <c r="X19" s="155"/>
      <c r="Y19" s="301"/>
      <c r="Z19" s="302"/>
      <c r="AA19" s="302"/>
      <c r="AB19" s="302"/>
      <c r="AC19" s="302"/>
      <c r="AD19" s="303"/>
      <c r="AE19" s="153"/>
      <c r="AF19" s="154"/>
      <c r="AG19" s="155"/>
      <c r="AH19" s="301"/>
      <c r="AI19" s="302"/>
      <c r="AJ19" s="302"/>
      <c r="AK19" s="302"/>
      <c r="AL19" s="302"/>
      <c r="AM19" s="303"/>
      <c r="AN19" s="51"/>
      <c r="AO19" s="52"/>
      <c r="AP19" s="52"/>
      <c r="AR19" s="60" t="s">
        <v>113</v>
      </c>
    </row>
    <row r="20" spans="1:44" s="41" customFormat="1" ht="20.25" customHeight="1" x14ac:dyDescent="0.25">
      <c r="A20" s="294" t="s">
        <v>2</v>
      </c>
      <c r="B20" s="295"/>
      <c r="C20" s="295"/>
      <c r="D20" s="295"/>
      <c r="E20" s="295"/>
      <c r="F20" s="295"/>
      <c r="G20" s="295"/>
      <c r="H20" s="295"/>
      <c r="I20" s="296" t="e">
        <f>+#REF!</f>
        <v>#REF!</v>
      </c>
      <c r="J20" s="296"/>
      <c r="K20" s="296"/>
      <c r="L20" s="296"/>
      <c r="M20" s="296"/>
      <c r="N20" s="296"/>
      <c r="O20" s="297"/>
      <c r="P20" s="298" t="s">
        <v>169</v>
      </c>
      <c r="Q20" s="299"/>
      <c r="R20" s="299"/>
      <c r="S20" s="299"/>
      <c r="T20" s="299"/>
      <c r="U20" s="300"/>
      <c r="V20" s="153"/>
      <c r="W20" s="154"/>
      <c r="X20" s="155"/>
      <c r="Y20" s="298"/>
      <c r="Z20" s="299"/>
      <c r="AA20" s="299"/>
      <c r="AB20" s="299"/>
      <c r="AC20" s="299"/>
      <c r="AD20" s="300"/>
      <c r="AE20" s="153"/>
      <c r="AF20" s="154"/>
      <c r="AG20" s="155"/>
      <c r="AH20" s="301"/>
      <c r="AI20" s="302"/>
      <c r="AJ20" s="302"/>
      <c r="AK20" s="302"/>
      <c r="AL20" s="302"/>
      <c r="AM20" s="303"/>
      <c r="AN20" s="51"/>
      <c r="AO20" s="52"/>
      <c r="AP20" s="52"/>
      <c r="AR20" s="60" t="s">
        <v>114</v>
      </c>
    </row>
    <row r="21" spans="1:44" s="41" customFormat="1" ht="20.25" customHeight="1" x14ac:dyDescent="0.25">
      <c r="A21" s="294" t="s">
        <v>0</v>
      </c>
      <c r="B21" s="295"/>
      <c r="C21" s="295"/>
      <c r="D21" s="295"/>
      <c r="E21" s="295"/>
      <c r="F21" s="295"/>
      <c r="G21" s="295"/>
      <c r="H21" s="295"/>
      <c r="I21" s="296" t="e">
        <f>+#REF!</f>
        <v>#REF!</v>
      </c>
      <c r="J21" s="296"/>
      <c r="K21" s="296"/>
      <c r="L21" s="296"/>
      <c r="M21" s="296"/>
      <c r="N21" s="296"/>
      <c r="O21" s="297"/>
      <c r="P21" s="298" t="s">
        <v>170</v>
      </c>
      <c r="Q21" s="299"/>
      <c r="R21" s="299"/>
      <c r="S21" s="299"/>
      <c r="T21" s="299"/>
      <c r="U21" s="300"/>
      <c r="V21" s="153"/>
      <c r="W21" s="154"/>
      <c r="X21" s="155"/>
      <c r="Y21" s="298"/>
      <c r="Z21" s="299"/>
      <c r="AA21" s="299"/>
      <c r="AB21" s="299"/>
      <c r="AC21" s="299"/>
      <c r="AD21" s="300"/>
      <c r="AE21" s="153"/>
      <c r="AF21" s="154"/>
      <c r="AG21" s="155"/>
      <c r="AH21" s="301"/>
      <c r="AI21" s="302"/>
      <c r="AJ21" s="302"/>
      <c r="AK21" s="302"/>
      <c r="AL21" s="302"/>
      <c r="AM21" s="303"/>
      <c r="AN21" s="51"/>
      <c r="AO21" s="52"/>
      <c r="AP21" s="52"/>
      <c r="AR21" s="60" t="s">
        <v>115</v>
      </c>
    </row>
    <row r="22" spans="1:44" s="41" customFormat="1" ht="32.25" customHeight="1" x14ac:dyDescent="0.25">
      <c r="A22" s="304" t="s">
        <v>1</v>
      </c>
      <c r="B22" s="305"/>
      <c r="C22" s="305"/>
      <c r="D22" s="305"/>
      <c r="E22" s="305"/>
      <c r="F22" s="305"/>
      <c r="G22" s="305"/>
      <c r="H22" s="305"/>
      <c r="I22" s="306" t="e">
        <f>+#REF!</f>
        <v>#REF!</v>
      </c>
      <c r="J22" s="306"/>
      <c r="K22" s="306"/>
      <c r="L22" s="306"/>
      <c r="M22" s="306"/>
      <c r="N22" s="306"/>
      <c r="O22" s="307"/>
      <c r="P22" s="308" t="s">
        <v>112</v>
      </c>
      <c r="Q22" s="309"/>
      <c r="R22" s="309"/>
      <c r="S22" s="309"/>
      <c r="T22" s="309"/>
      <c r="U22" s="310"/>
      <c r="V22" s="156"/>
      <c r="W22" s="157"/>
      <c r="X22" s="158"/>
      <c r="Y22" s="308"/>
      <c r="Z22" s="309"/>
      <c r="AA22" s="309"/>
      <c r="AB22" s="309"/>
      <c r="AC22" s="309"/>
      <c r="AD22" s="310"/>
      <c r="AE22" s="156"/>
      <c r="AF22" s="157"/>
      <c r="AG22" s="158"/>
      <c r="AH22" s="308"/>
      <c r="AI22" s="309"/>
      <c r="AJ22" s="309"/>
      <c r="AK22" s="309"/>
      <c r="AL22" s="309"/>
      <c r="AM22" s="310"/>
      <c r="AN22" s="51"/>
      <c r="AO22" s="52"/>
      <c r="AP22" s="52"/>
    </row>
    <row r="23" spans="1:44" s="41" customFormat="1" ht="13.8" x14ac:dyDescent="0.25"/>
    <row r="24" spans="1:44" s="41" customFormat="1" ht="13.8" x14ac:dyDescent="0.25">
      <c r="A24" s="59" t="s">
        <v>84</v>
      </c>
      <c r="B24" s="282" t="s">
        <v>93</v>
      </c>
      <c r="C24" s="283"/>
      <c r="D24" s="283"/>
      <c r="E24" s="283"/>
      <c r="F24" s="283"/>
      <c r="G24" s="283"/>
      <c r="H24" s="283"/>
      <c r="I24" s="283"/>
      <c r="J24" s="283"/>
      <c r="K24" s="283"/>
      <c r="L24" s="283"/>
      <c r="M24" s="283"/>
      <c r="N24" s="283"/>
      <c r="O24" s="284"/>
      <c r="P24" s="285" t="s">
        <v>29</v>
      </c>
      <c r="Q24" s="286"/>
      <c r="R24" s="286"/>
      <c r="S24" s="286"/>
      <c r="T24" s="286"/>
      <c r="U24" s="287"/>
      <c r="V24" s="137"/>
      <c r="W24" s="138"/>
      <c r="X24" s="139"/>
      <c r="Y24" s="285" t="s">
        <v>29</v>
      </c>
      <c r="Z24" s="286"/>
      <c r="AA24" s="286"/>
      <c r="AB24" s="286"/>
      <c r="AC24" s="286"/>
      <c r="AD24" s="287"/>
      <c r="AE24" s="137"/>
      <c r="AF24" s="138"/>
      <c r="AG24" s="139"/>
      <c r="AH24" s="285" t="s">
        <v>29</v>
      </c>
      <c r="AI24" s="286"/>
      <c r="AJ24" s="286"/>
      <c r="AK24" s="286"/>
      <c r="AL24" s="286"/>
      <c r="AM24" s="287"/>
    </row>
    <row r="25" spans="1:44" s="41" customFormat="1" ht="21" customHeight="1" x14ac:dyDescent="0.25">
      <c r="A25" s="140" t="e">
        <f t="shared" ref="A25:B27" si="3">+A10</f>
        <v>#REF!</v>
      </c>
      <c r="B25" s="288" t="e">
        <f t="shared" si="3"/>
        <v>#REF!</v>
      </c>
      <c r="C25" s="289"/>
      <c r="D25" s="289"/>
      <c r="E25" s="289"/>
      <c r="F25" s="289"/>
      <c r="G25" s="289"/>
      <c r="H25" s="289"/>
      <c r="I25" s="289"/>
      <c r="J25" s="289"/>
      <c r="K25" s="289"/>
      <c r="L25" s="289"/>
      <c r="M25" s="289"/>
      <c r="N25" s="289"/>
      <c r="O25" s="290"/>
      <c r="P25" s="291"/>
      <c r="Q25" s="292"/>
      <c r="R25" s="292"/>
      <c r="S25" s="292"/>
      <c r="T25" s="292"/>
      <c r="U25" s="293"/>
      <c r="V25" s="174"/>
      <c r="W25" s="175"/>
      <c r="X25" s="176"/>
      <c r="Y25" s="291"/>
      <c r="Z25" s="292"/>
      <c r="AA25" s="292"/>
      <c r="AB25" s="292"/>
      <c r="AC25" s="292"/>
      <c r="AD25" s="293"/>
      <c r="AE25" s="174"/>
      <c r="AF25" s="175"/>
      <c r="AG25" s="176"/>
      <c r="AH25" s="291"/>
      <c r="AI25" s="292"/>
      <c r="AJ25" s="292"/>
      <c r="AK25" s="292"/>
      <c r="AL25" s="292"/>
      <c r="AM25" s="293"/>
      <c r="AN25" s="49"/>
      <c r="AO25" s="50"/>
      <c r="AP25" s="50"/>
      <c r="AR25" s="60"/>
    </row>
    <row r="26" spans="1:44" s="41" customFormat="1" ht="21" customHeight="1" x14ac:dyDescent="0.25">
      <c r="A26" s="140" t="e">
        <f t="shared" si="3"/>
        <v>#REF!</v>
      </c>
      <c r="B26" s="288" t="e">
        <f t="shared" si="3"/>
        <v>#REF!</v>
      </c>
      <c r="C26" s="289"/>
      <c r="D26" s="289"/>
      <c r="E26" s="289"/>
      <c r="F26" s="289"/>
      <c r="G26" s="289"/>
      <c r="H26" s="289"/>
      <c r="I26" s="289"/>
      <c r="J26" s="289"/>
      <c r="K26" s="289"/>
      <c r="L26" s="289"/>
      <c r="M26" s="289"/>
      <c r="N26" s="289"/>
      <c r="O26" s="290"/>
      <c r="P26" s="291"/>
      <c r="Q26" s="292"/>
      <c r="R26" s="292"/>
      <c r="S26" s="292"/>
      <c r="T26" s="292"/>
      <c r="U26" s="293"/>
      <c r="V26" s="177"/>
      <c r="W26" s="177"/>
      <c r="X26" s="177"/>
      <c r="Y26" s="291"/>
      <c r="Z26" s="292"/>
      <c r="AA26" s="292"/>
      <c r="AB26" s="292"/>
      <c r="AC26" s="292"/>
      <c r="AD26" s="293"/>
      <c r="AE26" s="177"/>
      <c r="AF26" s="177"/>
      <c r="AG26" s="177"/>
      <c r="AH26" s="291"/>
      <c r="AI26" s="292"/>
      <c r="AJ26" s="292"/>
      <c r="AK26" s="292"/>
      <c r="AL26" s="292"/>
      <c r="AM26" s="293"/>
      <c r="AN26" s="53"/>
      <c r="AO26" s="53"/>
      <c r="AP26" s="53"/>
      <c r="AR26" s="60"/>
    </row>
    <row r="27" spans="1:44" s="41" customFormat="1" ht="21" customHeight="1" x14ac:dyDescent="0.25">
      <c r="A27" s="140" t="e">
        <f t="shared" si="3"/>
        <v>#REF!</v>
      </c>
      <c r="B27" s="288" t="e">
        <f t="shared" si="3"/>
        <v>#REF!</v>
      </c>
      <c r="C27" s="289"/>
      <c r="D27" s="289"/>
      <c r="E27" s="289"/>
      <c r="F27" s="289"/>
      <c r="G27" s="289"/>
      <c r="H27" s="289"/>
      <c r="I27" s="289"/>
      <c r="J27" s="289"/>
      <c r="K27" s="289"/>
      <c r="L27" s="289"/>
      <c r="M27" s="289"/>
      <c r="N27" s="289"/>
      <c r="O27" s="290"/>
      <c r="P27" s="291"/>
      <c r="Q27" s="292"/>
      <c r="R27" s="292"/>
      <c r="S27" s="292"/>
      <c r="T27" s="292"/>
      <c r="U27" s="293"/>
      <c r="V27" s="177"/>
      <c r="W27" s="177"/>
      <c r="X27" s="177"/>
      <c r="Y27" s="291"/>
      <c r="Z27" s="292"/>
      <c r="AA27" s="292"/>
      <c r="AB27" s="292"/>
      <c r="AC27" s="292"/>
      <c r="AD27" s="293"/>
      <c r="AE27" s="177"/>
      <c r="AF27" s="177"/>
      <c r="AG27" s="177"/>
      <c r="AH27" s="291"/>
      <c r="AI27" s="292"/>
      <c r="AJ27" s="292"/>
      <c r="AK27" s="292"/>
      <c r="AL27" s="292"/>
      <c r="AM27" s="293"/>
      <c r="AN27" s="53"/>
      <c r="AO27" s="53"/>
      <c r="AP27" s="53"/>
      <c r="AR27" s="60"/>
    </row>
    <row r="28" spans="1:44" s="41" customFormat="1" ht="12" customHeight="1" x14ac:dyDescent="0.25">
      <c r="L28" s="54" t="s">
        <v>94</v>
      </c>
    </row>
    <row r="29" spans="1:44" s="41" customFormat="1" ht="16.5" customHeight="1" x14ac:dyDescent="0.25">
      <c r="I29" s="267" t="s">
        <v>95</v>
      </c>
      <c r="J29" s="268"/>
      <c r="K29" s="268"/>
      <c r="L29" s="268"/>
      <c r="M29" s="268"/>
      <c r="N29" s="268"/>
      <c r="O29" s="269"/>
      <c r="P29" s="270" t="s">
        <v>171</v>
      </c>
      <c r="Q29" s="271"/>
      <c r="R29" s="271"/>
      <c r="S29" s="271"/>
      <c r="T29" s="271"/>
      <c r="U29" s="272"/>
      <c r="V29" s="159"/>
      <c r="W29" s="160"/>
      <c r="X29" s="161"/>
      <c r="Y29" s="273"/>
      <c r="Z29" s="274"/>
      <c r="AA29" s="274"/>
      <c r="AB29" s="274"/>
      <c r="AC29" s="274"/>
      <c r="AD29" s="275"/>
      <c r="AE29" s="162"/>
      <c r="AF29" s="163"/>
      <c r="AG29" s="163"/>
      <c r="AH29" s="276"/>
      <c r="AI29" s="276"/>
      <c r="AJ29" s="276"/>
      <c r="AK29" s="276"/>
      <c r="AL29" s="276"/>
      <c r="AM29" s="277"/>
    </row>
    <row r="30" spans="1:44" s="41" customFormat="1" ht="18" customHeight="1" x14ac:dyDescent="0.25">
      <c r="I30" s="251" t="s">
        <v>96</v>
      </c>
      <c r="J30" s="252"/>
      <c r="K30" s="252"/>
      <c r="L30" s="252"/>
      <c r="M30" s="252"/>
      <c r="N30" s="252"/>
      <c r="O30" s="253"/>
      <c r="P30" s="278">
        <v>43640</v>
      </c>
      <c r="Q30" s="279"/>
      <c r="R30" s="279"/>
      <c r="S30" s="279"/>
      <c r="T30" s="279"/>
      <c r="U30" s="280"/>
      <c r="V30" s="164"/>
      <c r="W30" s="165"/>
      <c r="X30" s="166"/>
      <c r="Y30" s="278"/>
      <c r="Z30" s="279"/>
      <c r="AA30" s="279"/>
      <c r="AB30" s="279"/>
      <c r="AC30" s="279"/>
      <c r="AD30" s="280"/>
      <c r="AE30" s="167"/>
      <c r="AF30" s="168"/>
      <c r="AG30" s="168"/>
      <c r="AH30" s="281"/>
      <c r="AI30" s="279"/>
      <c r="AJ30" s="279"/>
      <c r="AK30" s="279"/>
      <c r="AL30" s="279"/>
      <c r="AM30" s="280"/>
    </row>
    <row r="31" spans="1:44" ht="18" customHeight="1" x14ac:dyDescent="0.25">
      <c r="I31" s="251" t="s">
        <v>97</v>
      </c>
      <c r="J31" s="252"/>
      <c r="K31" s="252"/>
      <c r="L31" s="252"/>
      <c r="M31" s="252"/>
      <c r="N31" s="252"/>
      <c r="O31" s="253"/>
      <c r="P31" s="254">
        <f>+P30+P18</f>
        <v>43670</v>
      </c>
      <c r="Q31" s="255"/>
      <c r="R31" s="255"/>
      <c r="S31" s="255"/>
      <c r="T31" s="255"/>
      <c r="U31" s="256"/>
      <c r="V31" s="164"/>
      <c r="W31" s="165"/>
      <c r="X31" s="166"/>
      <c r="Y31" s="254">
        <f>+Y30+Y18</f>
        <v>0</v>
      </c>
      <c r="Z31" s="255"/>
      <c r="AA31" s="255"/>
      <c r="AB31" s="255"/>
      <c r="AC31" s="255"/>
      <c r="AD31" s="256"/>
      <c r="AE31" s="164"/>
      <c r="AF31" s="165"/>
      <c r="AG31" s="165"/>
      <c r="AH31" s="254">
        <f>+AH30+AH18</f>
        <v>0</v>
      </c>
      <c r="AI31" s="255"/>
      <c r="AJ31" s="255"/>
      <c r="AK31" s="255"/>
      <c r="AL31" s="255"/>
      <c r="AM31" s="256"/>
      <c r="AR31" s="41"/>
    </row>
    <row r="32" spans="1:44" ht="19.5" customHeight="1" x14ac:dyDescent="0.25">
      <c r="I32" s="257" t="s">
        <v>98</v>
      </c>
      <c r="J32" s="258"/>
      <c r="K32" s="258"/>
      <c r="L32" s="258"/>
      <c r="M32" s="258"/>
      <c r="N32" s="258"/>
      <c r="O32" s="259"/>
      <c r="P32" s="260"/>
      <c r="Q32" s="261"/>
      <c r="R32" s="261"/>
      <c r="S32" s="261"/>
      <c r="T32" s="261"/>
      <c r="U32" s="262"/>
      <c r="V32" s="169"/>
      <c r="W32" s="170"/>
      <c r="X32" s="171"/>
      <c r="Y32" s="263"/>
      <c r="Z32" s="264"/>
      <c r="AA32" s="264"/>
      <c r="AB32" s="264"/>
      <c r="AC32" s="264"/>
      <c r="AD32" s="265"/>
      <c r="AE32" s="172"/>
      <c r="AF32" s="173"/>
      <c r="AG32" s="173"/>
      <c r="AH32" s="266"/>
      <c r="AI32" s="264"/>
      <c r="AJ32" s="264"/>
      <c r="AK32" s="264"/>
      <c r="AL32" s="264"/>
      <c r="AM32" s="265"/>
      <c r="AR32" s="41"/>
    </row>
    <row r="33" spans="1:39" ht="11.25" customHeight="1" x14ac:dyDescent="0.25"/>
    <row r="34" spans="1:39" ht="11.25" customHeight="1" x14ac:dyDescent="0.25"/>
    <row r="35" spans="1:39" ht="11.25" customHeight="1" thickBot="1" x14ac:dyDescent="0.3"/>
    <row r="36" spans="1:39" ht="12" customHeight="1" thickTop="1" x14ac:dyDescent="0.25">
      <c r="A36" s="226" t="s">
        <v>162</v>
      </c>
      <c r="B36" s="227"/>
      <c r="C36" s="227"/>
      <c r="D36" s="227"/>
      <c r="E36" s="227"/>
      <c r="F36" s="227"/>
      <c r="G36" s="227"/>
      <c r="H36" s="227"/>
      <c r="I36" s="227"/>
      <c r="J36" s="227"/>
      <c r="K36" s="227"/>
      <c r="L36" s="227"/>
      <c r="M36" s="227"/>
      <c r="N36" s="227"/>
      <c r="O36" s="227"/>
      <c r="P36" s="227"/>
      <c r="Q36" s="227"/>
      <c r="R36" s="227"/>
      <c r="S36" s="227"/>
      <c r="T36" s="227"/>
      <c r="U36" s="227"/>
      <c r="V36" s="227"/>
      <c r="W36" s="227"/>
      <c r="X36" s="227"/>
      <c r="Y36" s="227"/>
      <c r="Z36" s="227"/>
      <c r="AA36" s="227"/>
      <c r="AB36" s="227"/>
      <c r="AC36" s="227"/>
      <c r="AD36" s="227"/>
      <c r="AE36" s="227"/>
      <c r="AF36" s="227"/>
      <c r="AG36" s="227"/>
      <c r="AH36" s="227"/>
      <c r="AI36" s="227"/>
      <c r="AJ36" s="227"/>
      <c r="AK36" s="227"/>
      <c r="AL36" s="227"/>
      <c r="AM36" s="228"/>
    </row>
    <row r="37" spans="1:39" ht="12" customHeight="1" x14ac:dyDescent="0.25">
      <c r="A37" s="229"/>
      <c r="B37" s="230"/>
      <c r="C37" s="230"/>
      <c r="D37" s="230"/>
      <c r="E37" s="230"/>
      <c r="F37" s="230"/>
      <c r="G37" s="230"/>
      <c r="H37" s="230"/>
      <c r="I37" s="230"/>
      <c r="J37" s="230"/>
      <c r="K37" s="230"/>
      <c r="L37" s="230"/>
      <c r="M37" s="230"/>
      <c r="N37" s="230"/>
      <c r="O37" s="230"/>
      <c r="P37" s="230"/>
      <c r="Q37" s="230"/>
      <c r="R37" s="230"/>
      <c r="S37" s="230"/>
      <c r="T37" s="230"/>
      <c r="U37" s="230"/>
      <c r="V37" s="230"/>
      <c r="W37" s="230"/>
      <c r="X37" s="230"/>
      <c r="Y37" s="230"/>
      <c r="Z37" s="230"/>
      <c r="AA37" s="230"/>
      <c r="AB37" s="230"/>
      <c r="AC37" s="230"/>
      <c r="AD37" s="230"/>
      <c r="AE37" s="230"/>
      <c r="AF37" s="230"/>
      <c r="AG37" s="230"/>
      <c r="AH37" s="230"/>
      <c r="AI37" s="230"/>
      <c r="AJ37" s="230"/>
      <c r="AK37" s="230"/>
      <c r="AL37" s="230"/>
      <c r="AM37" s="231"/>
    </row>
    <row r="38" spans="1:39" ht="84.75" customHeight="1" x14ac:dyDescent="0.25">
      <c r="A38" s="229"/>
      <c r="B38" s="230"/>
      <c r="C38" s="230"/>
      <c r="D38" s="230"/>
      <c r="E38" s="230"/>
      <c r="F38" s="230"/>
      <c r="G38" s="230"/>
      <c r="H38" s="230"/>
      <c r="I38" s="230"/>
      <c r="J38" s="230"/>
      <c r="K38" s="230"/>
      <c r="L38" s="230"/>
      <c r="M38" s="230"/>
      <c r="N38" s="230"/>
      <c r="O38" s="230"/>
      <c r="P38" s="230"/>
      <c r="Q38" s="230"/>
      <c r="R38" s="230"/>
      <c r="S38" s="230"/>
      <c r="T38" s="230"/>
      <c r="U38" s="230"/>
      <c r="V38" s="230"/>
      <c r="W38" s="230"/>
      <c r="X38" s="230"/>
      <c r="Y38" s="230"/>
      <c r="Z38" s="230"/>
      <c r="AA38" s="230"/>
      <c r="AB38" s="230"/>
      <c r="AC38" s="230"/>
      <c r="AD38" s="230"/>
      <c r="AE38" s="230"/>
      <c r="AF38" s="230"/>
      <c r="AG38" s="230"/>
      <c r="AH38" s="230"/>
      <c r="AI38" s="230"/>
      <c r="AJ38" s="230"/>
      <c r="AK38" s="230"/>
      <c r="AL38" s="230"/>
      <c r="AM38" s="231"/>
    </row>
    <row r="39" spans="1:39" ht="12" customHeight="1" x14ac:dyDescent="0.25">
      <c r="A39" s="229"/>
      <c r="B39" s="230"/>
      <c r="C39" s="230"/>
      <c r="D39" s="230"/>
      <c r="E39" s="230"/>
      <c r="F39" s="230"/>
      <c r="G39" s="230"/>
      <c r="H39" s="230"/>
      <c r="I39" s="230"/>
      <c r="J39" s="230"/>
      <c r="K39" s="230"/>
      <c r="L39" s="230"/>
      <c r="M39" s="230"/>
      <c r="N39" s="230"/>
      <c r="O39" s="230"/>
      <c r="P39" s="230"/>
      <c r="Q39" s="230"/>
      <c r="R39" s="230"/>
      <c r="S39" s="230"/>
      <c r="T39" s="230"/>
      <c r="U39" s="230"/>
      <c r="V39" s="230"/>
      <c r="W39" s="230"/>
      <c r="X39" s="230"/>
      <c r="Y39" s="230"/>
      <c r="Z39" s="230"/>
      <c r="AA39" s="230"/>
      <c r="AB39" s="230"/>
      <c r="AC39" s="230"/>
      <c r="AD39" s="230"/>
      <c r="AE39" s="230"/>
      <c r="AF39" s="230"/>
      <c r="AG39" s="230"/>
      <c r="AH39" s="230"/>
      <c r="AI39" s="230"/>
      <c r="AJ39" s="230"/>
      <c r="AK39" s="230"/>
      <c r="AL39" s="230"/>
      <c r="AM39" s="231"/>
    </row>
    <row r="40" spans="1:39" ht="12" customHeight="1" thickBot="1" x14ac:dyDescent="0.3">
      <c r="A40" s="232"/>
      <c r="B40" s="233"/>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3"/>
      <c r="AM40" s="234"/>
    </row>
    <row r="41" spans="1:39" ht="13.8" thickTop="1" x14ac:dyDescent="0.25"/>
    <row r="43" spans="1:39" x14ac:dyDescent="0.25">
      <c r="A43" s="3"/>
      <c r="B43" s="3"/>
      <c r="C43" s="236" t="s">
        <v>99</v>
      </c>
      <c r="D43" s="237"/>
      <c r="E43" s="237"/>
      <c r="F43" s="237"/>
      <c r="G43" s="237"/>
      <c r="H43" s="237"/>
      <c r="I43" s="238"/>
      <c r="J43" s="236" t="s">
        <v>100</v>
      </c>
      <c r="K43" s="237"/>
      <c r="L43" s="237"/>
      <c r="M43" s="237"/>
      <c r="N43" s="237"/>
      <c r="O43" s="237"/>
      <c r="P43" s="237"/>
      <c r="Q43" s="238"/>
      <c r="R43" s="236" t="s">
        <v>101</v>
      </c>
      <c r="S43" s="237"/>
      <c r="T43" s="237"/>
      <c r="U43" s="237"/>
      <c r="V43" s="237"/>
      <c r="W43" s="237"/>
      <c r="X43" s="237"/>
      <c r="Y43" s="237"/>
      <c r="Z43" s="237"/>
      <c r="AA43" s="237"/>
      <c r="AB43" s="238"/>
      <c r="AC43" s="236" t="s">
        <v>102</v>
      </c>
      <c r="AD43" s="237"/>
      <c r="AE43" s="237"/>
      <c r="AF43" s="237"/>
      <c r="AG43" s="237"/>
      <c r="AH43" s="237"/>
      <c r="AI43" s="237"/>
      <c r="AJ43" s="237"/>
      <c r="AK43" s="237"/>
      <c r="AL43" s="237"/>
      <c r="AM43" s="238"/>
    </row>
    <row r="44" spans="1:39" ht="60" customHeight="1" x14ac:dyDescent="0.25">
      <c r="A44" s="235" t="s">
        <v>103</v>
      </c>
      <c r="B44" s="235"/>
      <c r="C44" s="239"/>
      <c r="D44" s="240"/>
      <c r="E44" s="240"/>
      <c r="F44" s="240"/>
      <c r="G44" s="240"/>
      <c r="H44" s="240"/>
      <c r="I44" s="240"/>
      <c r="J44" s="239"/>
      <c r="K44" s="240"/>
      <c r="L44" s="240"/>
      <c r="M44" s="240"/>
      <c r="N44" s="240"/>
      <c r="O44" s="240"/>
      <c r="P44" s="240"/>
      <c r="Q44" s="240"/>
      <c r="R44" s="239"/>
      <c r="S44" s="240"/>
      <c r="T44" s="240"/>
      <c r="U44" s="240"/>
      <c r="V44" s="240"/>
      <c r="W44" s="240"/>
      <c r="X44" s="240"/>
      <c r="Y44" s="240"/>
      <c r="Z44" s="240"/>
      <c r="AA44" s="240"/>
      <c r="AB44" s="240"/>
      <c r="AC44" s="239"/>
      <c r="AD44" s="240"/>
      <c r="AE44" s="240"/>
      <c r="AF44" s="240"/>
      <c r="AG44" s="240"/>
      <c r="AH44" s="240"/>
      <c r="AI44" s="240"/>
      <c r="AJ44" s="240"/>
      <c r="AK44" s="240"/>
      <c r="AL44" s="240"/>
      <c r="AM44" s="241"/>
    </row>
    <row r="45" spans="1:39" ht="20.100000000000001" customHeight="1" x14ac:dyDescent="0.25">
      <c r="A45" s="225" t="s">
        <v>104</v>
      </c>
      <c r="B45" s="225"/>
      <c r="C45" s="242" t="s">
        <v>160</v>
      </c>
      <c r="D45" s="243"/>
      <c r="E45" s="243"/>
      <c r="F45" s="243"/>
      <c r="G45" s="243"/>
      <c r="H45" s="243"/>
      <c r="I45" s="243"/>
      <c r="J45" s="242"/>
      <c r="K45" s="243"/>
      <c r="L45" s="243"/>
      <c r="M45" s="243"/>
      <c r="N45" s="243"/>
      <c r="O45" s="243"/>
      <c r="P45" s="243"/>
      <c r="Q45" s="243"/>
      <c r="R45" s="242"/>
      <c r="S45" s="243"/>
      <c r="T45" s="243"/>
      <c r="U45" s="243"/>
      <c r="V45" s="243"/>
      <c r="W45" s="243"/>
      <c r="X45" s="243"/>
      <c r="Y45" s="243"/>
      <c r="Z45" s="243"/>
      <c r="AA45" s="243"/>
      <c r="AB45" s="243"/>
      <c r="AC45" s="242" t="s">
        <v>110</v>
      </c>
      <c r="AD45" s="243"/>
      <c r="AE45" s="243"/>
      <c r="AF45" s="243"/>
      <c r="AG45" s="243"/>
      <c r="AH45" s="243"/>
      <c r="AI45" s="243"/>
      <c r="AJ45" s="243"/>
      <c r="AK45" s="243"/>
      <c r="AL45" s="243"/>
      <c r="AM45" s="244"/>
    </row>
    <row r="46" spans="1:39" ht="20.100000000000001" customHeight="1" x14ac:dyDescent="0.25">
      <c r="A46" s="225" t="s">
        <v>105</v>
      </c>
      <c r="B46" s="225"/>
      <c r="C46" s="245" t="s">
        <v>106</v>
      </c>
      <c r="D46" s="246"/>
      <c r="E46" s="246"/>
      <c r="F46" s="246"/>
      <c r="G46" s="246"/>
      <c r="H46" s="246"/>
      <c r="I46" s="246"/>
      <c r="J46" s="242"/>
      <c r="K46" s="243"/>
      <c r="L46" s="243"/>
      <c r="M46" s="243"/>
      <c r="N46" s="243"/>
      <c r="O46" s="243"/>
      <c r="P46" s="243"/>
      <c r="Q46" s="243"/>
      <c r="R46" s="242"/>
      <c r="S46" s="243"/>
      <c r="T46" s="243"/>
      <c r="U46" s="243"/>
      <c r="V46" s="243"/>
      <c r="W46" s="243"/>
      <c r="X46" s="243"/>
      <c r="Y46" s="243"/>
      <c r="Z46" s="243"/>
      <c r="AA46" s="243"/>
      <c r="AB46" s="243"/>
      <c r="AC46" s="245" t="s">
        <v>161</v>
      </c>
      <c r="AD46" s="246"/>
      <c r="AE46" s="246"/>
      <c r="AF46" s="246"/>
      <c r="AG46" s="246"/>
      <c r="AH46" s="246"/>
      <c r="AI46" s="246"/>
      <c r="AJ46" s="246"/>
      <c r="AK46" s="246"/>
      <c r="AL46" s="246"/>
      <c r="AM46" s="247"/>
    </row>
    <row r="47" spans="1:39" ht="14.1" customHeight="1" x14ac:dyDescent="0.25">
      <c r="A47" s="224" t="s">
        <v>107</v>
      </c>
      <c r="B47" s="224"/>
      <c r="C47" s="222"/>
      <c r="D47" s="223"/>
      <c r="E47" s="223"/>
      <c r="F47" s="223"/>
      <c r="G47" s="223"/>
      <c r="H47" s="223"/>
      <c r="I47" s="223"/>
      <c r="J47" s="249"/>
      <c r="K47" s="250"/>
      <c r="L47" s="250"/>
      <c r="M47" s="250"/>
      <c r="N47" s="250"/>
      <c r="O47" s="250"/>
      <c r="P47" s="250"/>
      <c r="Q47" s="250"/>
      <c r="R47" s="222"/>
      <c r="S47" s="223"/>
      <c r="T47" s="223"/>
      <c r="U47" s="223"/>
      <c r="V47" s="223"/>
      <c r="W47" s="223"/>
      <c r="X47" s="223"/>
      <c r="Y47" s="223"/>
      <c r="Z47" s="223"/>
      <c r="AA47" s="223"/>
      <c r="AB47" s="223"/>
      <c r="AC47" s="222"/>
      <c r="AD47" s="223"/>
      <c r="AE47" s="223"/>
      <c r="AF47" s="223"/>
      <c r="AG47" s="223"/>
      <c r="AH47" s="223"/>
      <c r="AI47" s="223"/>
      <c r="AJ47" s="223"/>
      <c r="AK47" s="223"/>
      <c r="AL47" s="223"/>
      <c r="AM47" s="248"/>
    </row>
    <row r="50" spans="13:13" x14ac:dyDescent="0.25">
      <c r="M50" s="56"/>
    </row>
  </sheetData>
  <mergeCells count="174">
    <mergeCell ref="B11:J11"/>
    <mergeCell ref="L11:M11"/>
    <mergeCell ref="N11:O11"/>
    <mergeCell ref="P11:R11"/>
    <mergeCell ref="S11:U11"/>
    <mergeCell ref="Y11:AA11"/>
    <mergeCell ref="AB11:AD11"/>
    <mergeCell ref="AH11:AJ11"/>
    <mergeCell ref="AK11:AM11"/>
    <mergeCell ref="A5:D5"/>
    <mergeCell ref="E5:I5"/>
    <mergeCell ref="K5:Q5"/>
    <mergeCell ref="R5:AB5"/>
    <mergeCell ref="H7:M7"/>
    <mergeCell ref="N7:O7"/>
    <mergeCell ref="Q7:U7"/>
    <mergeCell ref="Z7:AG7"/>
    <mergeCell ref="A1:G3"/>
    <mergeCell ref="H1:AC1"/>
    <mergeCell ref="AD1:AI1"/>
    <mergeCell ref="AI7:AM7"/>
    <mergeCell ref="AJ1:AM1"/>
    <mergeCell ref="H2:AC3"/>
    <mergeCell ref="AD2:AI2"/>
    <mergeCell ref="AJ2:AM2"/>
    <mergeCell ref="AD3:AI3"/>
    <mergeCell ref="AJ3:AM3"/>
    <mergeCell ref="A8:A9"/>
    <mergeCell ref="B8:J9"/>
    <mergeCell ref="K8:K9"/>
    <mergeCell ref="L8:M9"/>
    <mergeCell ref="N8:O8"/>
    <mergeCell ref="P8:U8"/>
    <mergeCell ref="Y8:AD8"/>
    <mergeCell ref="AH8:AM8"/>
    <mergeCell ref="N9:O9"/>
    <mergeCell ref="AH9:AJ9"/>
    <mergeCell ref="AK9:AM9"/>
    <mergeCell ref="AN9:AP9"/>
    <mergeCell ref="B10:J10"/>
    <mergeCell ref="L10:M10"/>
    <mergeCell ref="N10:O10"/>
    <mergeCell ref="P10:R10"/>
    <mergeCell ref="S10:U10"/>
    <mergeCell ref="V10:X10"/>
    <mergeCell ref="Y10:AA10"/>
    <mergeCell ref="P9:R9"/>
    <mergeCell ref="S9:U9"/>
    <mergeCell ref="V9:X9"/>
    <mergeCell ref="Y9:AA9"/>
    <mergeCell ref="AB9:AD9"/>
    <mergeCell ref="AE9:AG9"/>
    <mergeCell ref="AB10:AD10"/>
    <mergeCell ref="AE10:AG10"/>
    <mergeCell ref="AH10:AJ10"/>
    <mergeCell ref="AK10:AM10"/>
    <mergeCell ref="AN10:AP10"/>
    <mergeCell ref="S12:U12"/>
    <mergeCell ref="Y12:AA12"/>
    <mergeCell ref="AB12:AD12"/>
    <mergeCell ref="AH12:AJ12"/>
    <mergeCell ref="AK12:AM12"/>
    <mergeCell ref="B12:J12"/>
    <mergeCell ref="L12:M12"/>
    <mergeCell ref="N12:O12"/>
    <mergeCell ref="P12:R12"/>
    <mergeCell ref="L13:O13"/>
    <mergeCell ref="P13:Q13"/>
    <mergeCell ref="R13:U13"/>
    <mergeCell ref="Y13:Z13"/>
    <mergeCell ref="AA13:AD13"/>
    <mergeCell ref="AH13:AI13"/>
    <mergeCell ref="AJ13:AM13"/>
    <mergeCell ref="AJ18:AM18"/>
    <mergeCell ref="AJ14:AM14"/>
    <mergeCell ref="A16:O16"/>
    <mergeCell ref="P16:U16"/>
    <mergeCell ref="Y16:AD16"/>
    <mergeCell ref="AH16:AM16"/>
    <mergeCell ref="A17:H17"/>
    <mergeCell ref="I17:O17"/>
    <mergeCell ref="P17:U17"/>
    <mergeCell ref="Y17:AD17"/>
    <mergeCell ref="AH17:AM17"/>
    <mergeCell ref="L14:O14"/>
    <mergeCell ref="P14:Q14"/>
    <mergeCell ref="R14:U14"/>
    <mergeCell ref="Y14:Z14"/>
    <mergeCell ref="AA14:AD14"/>
    <mergeCell ref="AH14:AI14"/>
    <mergeCell ref="A18:H18"/>
    <mergeCell ref="I18:O18"/>
    <mergeCell ref="A19:H19"/>
    <mergeCell ref="I19:O19"/>
    <mergeCell ref="A20:H20"/>
    <mergeCell ref="I20:O20"/>
    <mergeCell ref="P20:U20"/>
    <mergeCell ref="Y20:AD20"/>
    <mergeCell ref="AH20:AM20"/>
    <mergeCell ref="P18:Q18"/>
    <mergeCell ref="R18:U18"/>
    <mergeCell ref="Y18:Z18"/>
    <mergeCell ref="AA18:AD18"/>
    <mergeCell ref="AH18:AI18"/>
    <mergeCell ref="P19:U19"/>
    <mergeCell ref="Y19:AD19"/>
    <mergeCell ref="AH19:AM19"/>
    <mergeCell ref="A21:H21"/>
    <mergeCell ref="I21:O21"/>
    <mergeCell ref="P21:U21"/>
    <mergeCell ref="Y21:AD21"/>
    <mergeCell ref="AH21:AM21"/>
    <mergeCell ref="A22:H22"/>
    <mergeCell ref="I22:O22"/>
    <mergeCell ref="P22:U22"/>
    <mergeCell ref="Y22:AD22"/>
    <mergeCell ref="AH22:AM22"/>
    <mergeCell ref="I29:O29"/>
    <mergeCell ref="P29:U29"/>
    <mergeCell ref="Y29:AD29"/>
    <mergeCell ref="AH29:AM29"/>
    <mergeCell ref="I30:O30"/>
    <mergeCell ref="P30:U30"/>
    <mergeCell ref="Y30:AD30"/>
    <mergeCell ref="AH30:AM30"/>
    <mergeCell ref="B24:O24"/>
    <mergeCell ref="P24:U24"/>
    <mergeCell ref="Y24:AD24"/>
    <mergeCell ref="AH24:AM24"/>
    <mergeCell ref="B27:O27"/>
    <mergeCell ref="P27:U27"/>
    <mergeCell ref="Y27:AD27"/>
    <mergeCell ref="AH27:AM27"/>
    <mergeCell ref="B25:O25"/>
    <mergeCell ref="P25:U25"/>
    <mergeCell ref="Y25:AD25"/>
    <mergeCell ref="AH25:AM25"/>
    <mergeCell ref="B26:O26"/>
    <mergeCell ref="P26:U26"/>
    <mergeCell ref="Y26:AD26"/>
    <mergeCell ref="AH26:AM26"/>
    <mergeCell ref="R46:AB46"/>
    <mergeCell ref="I31:O31"/>
    <mergeCell ref="P31:U31"/>
    <mergeCell ref="Y31:AD31"/>
    <mergeCell ref="AH31:AM31"/>
    <mergeCell ref="I32:O32"/>
    <mergeCell ref="P32:U32"/>
    <mergeCell ref="Y32:AD32"/>
    <mergeCell ref="AH32:AM32"/>
    <mergeCell ref="R47:AB47"/>
    <mergeCell ref="A47:B47"/>
    <mergeCell ref="A45:B45"/>
    <mergeCell ref="A46:B46"/>
    <mergeCell ref="A36:AM40"/>
    <mergeCell ref="A44:B44"/>
    <mergeCell ref="J43:Q43"/>
    <mergeCell ref="R43:AB43"/>
    <mergeCell ref="AC43:AM43"/>
    <mergeCell ref="C43:I43"/>
    <mergeCell ref="C44:I44"/>
    <mergeCell ref="J44:Q44"/>
    <mergeCell ref="R44:AB44"/>
    <mergeCell ref="AC44:AM44"/>
    <mergeCell ref="AC45:AM45"/>
    <mergeCell ref="AC46:AM46"/>
    <mergeCell ref="AC47:AM47"/>
    <mergeCell ref="C45:I45"/>
    <mergeCell ref="C46:I46"/>
    <mergeCell ref="C47:I47"/>
    <mergeCell ref="J45:Q45"/>
    <mergeCell ref="J46:Q46"/>
    <mergeCell ref="J47:Q47"/>
    <mergeCell ref="R45:AB45"/>
  </mergeCells>
  <dataValidations count="1">
    <dataValidation type="list" allowBlank="1" showInputMessage="1" showErrorMessage="1" sqref="P19:AM19">
      <formula1>$AR$18:$AR$21</formula1>
    </dataValidation>
  </dataValidations>
  <printOptions horizontalCentered="1"/>
  <pageMargins left="0.47244094488188981" right="0.47244094488188981" top="0.68" bottom="0.7" header="0.31496062992125984" footer="0.31496062992125984"/>
  <pageSetup scale="55" orientation="portrait" r:id="rId1"/>
  <headerFooter>
    <oddFooter>&amp;R&amp;P de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pageSetUpPr fitToPage="1"/>
  </sheetPr>
  <dimension ref="A1:P32"/>
  <sheetViews>
    <sheetView zoomScaleNormal="100" workbookViewId="0">
      <selection activeCell="J15" sqref="J15"/>
    </sheetView>
  </sheetViews>
  <sheetFormatPr baseColWidth="10" defaultColWidth="11.44140625" defaultRowHeight="13.2" x14ac:dyDescent="0.25"/>
  <cols>
    <col min="1" max="1" width="9" style="71" customWidth="1"/>
    <col min="2" max="2" width="10.33203125" style="71" customWidth="1"/>
    <col min="3" max="3" width="10.88671875" style="71" customWidth="1"/>
    <col min="4" max="4" width="13.5546875" style="71" customWidth="1"/>
    <col min="5" max="5" width="40.5546875" style="71" customWidth="1"/>
    <col min="6" max="6" width="31.5546875" style="71" customWidth="1"/>
    <col min="7" max="7" width="22.5546875" style="71" customWidth="1"/>
    <col min="8" max="8" width="21.109375" style="71" customWidth="1"/>
    <col min="9" max="16384" width="11.44140625" style="71"/>
  </cols>
  <sheetData>
    <row r="1" spans="1:9" ht="25.2" x14ac:dyDescent="0.6">
      <c r="A1" s="422"/>
      <c r="B1" s="423"/>
      <c r="C1" s="423"/>
      <c r="D1" s="66"/>
      <c r="E1" s="67"/>
      <c r="F1" s="68"/>
      <c r="G1" s="69"/>
      <c r="H1" s="70"/>
    </row>
    <row r="2" spans="1:9" ht="13.8" thickBot="1" x14ac:dyDescent="0.3">
      <c r="A2" s="72"/>
      <c r="B2" s="73"/>
      <c r="C2" s="73"/>
      <c r="D2" s="73"/>
      <c r="E2" s="73"/>
      <c r="F2" s="74"/>
      <c r="G2" s="74"/>
      <c r="H2" s="75"/>
    </row>
    <row r="3" spans="1:9" ht="25.8" thickBot="1" x14ac:dyDescent="0.65">
      <c r="A3" s="76"/>
      <c r="B3" s="77"/>
      <c r="C3" s="77"/>
      <c r="D3" s="78"/>
      <c r="E3" s="79" t="s">
        <v>131</v>
      </c>
      <c r="F3" s="80" t="s">
        <v>58</v>
      </c>
      <c r="G3" s="424"/>
      <c r="H3" s="425"/>
    </row>
    <row r="4" spans="1:9" ht="16.8" thickBot="1" x14ac:dyDescent="0.45">
      <c r="A4" s="81"/>
      <c r="B4" s="82"/>
      <c r="C4" s="82"/>
      <c r="D4" s="82"/>
      <c r="E4" s="82"/>
      <c r="F4" s="83"/>
      <c r="G4" s="83"/>
      <c r="H4" s="84"/>
    </row>
    <row r="5" spans="1:9" ht="25.8" thickBot="1" x14ac:dyDescent="0.65">
      <c r="A5" s="81"/>
      <c r="B5" s="82"/>
      <c r="C5" s="82"/>
      <c r="D5" s="82"/>
      <c r="E5" s="85"/>
      <c r="F5" s="80" t="s">
        <v>116</v>
      </c>
      <c r="G5" s="426"/>
      <c r="H5" s="427"/>
    </row>
    <row r="6" spans="1:9" ht="24" customHeight="1" x14ac:dyDescent="0.25">
      <c r="A6" s="428" t="s">
        <v>117</v>
      </c>
      <c r="B6" s="429"/>
      <c r="C6" s="429"/>
      <c r="D6" s="430"/>
      <c r="E6" s="431"/>
      <c r="F6" s="432"/>
      <c r="G6" s="432"/>
      <c r="H6" s="433"/>
      <c r="I6" s="105" t="s">
        <v>131</v>
      </c>
    </row>
    <row r="7" spans="1:9" ht="24" customHeight="1" x14ac:dyDescent="0.25">
      <c r="A7" s="416" t="s">
        <v>118</v>
      </c>
      <c r="B7" s="417"/>
      <c r="C7" s="417"/>
      <c r="D7" s="418"/>
      <c r="E7" s="419"/>
      <c r="F7" s="420"/>
      <c r="G7" s="420"/>
      <c r="H7" s="421"/>
      <c r="I7" s="105" t="s">
        <v>132</v>
      </c>
    </row>
    <row r="8" spans="1:9" ht="24" customHeight="1" x14ac:dyDescent="0.25">
      <c r="A8" s="416" t="s">
        <v>167</v>
      </c>
      <c r="B8" s="417"/>
      <c r="C8" s="417"/>
      <c r="D8" s="418"/>
      <c r="E8" s="435"/>
      <c r="F8" s="436"/>
      <c r="G8" s="436"/>
      <c r="H8" s="437"/>
    </row>
    <row r="9" spans="1:9" ht="24" customHeight="1" x14ac:dyDescent="0.25">
      <c r="A9" s="416" t="s">
        <v>119</v>
      </c>
      <c r="B9" s="417"/>
      <c r="C9" s="417"/>
      <c r="D9" s="418"/>
      <c r="E9" s="438"/>
      <c r="F9" s="439"/>
      <c r="G9" s="439"/>
      <c r="H9" s="440"/>
    </row>
    <row r="10" spans="1:9" ht="24" customHeight="1" x14ac:dyDescent="0.25">
      <c r="A10" s="416" t="s">
        <v>168</v>
      </c>
      <c r="B10" s="417"/>
      <c r="C10" s="417"/>
      <c r="D10" s="418"/>
      <c r="E10" s="438"/>
      <c r="F10" s="439"/>
      <c r="G10" s="439"/>
      <c r="H10" s="440"/>
    </row>
    <row r="11" spans="1:9" ht="15.6" thickBot="1" x14ac:dyDescent="0.3">
      <c r="A11" s="86"/>
      <c r="B11" s="87"/>
      <c r="C11" s="87"/>
      <c r="D11" s="87"/>
      <c r="E11" s="87"/>
      <c r="F11" s="87"/>
      <c r="G11" s="87"/>
      <c r="H11" s="88"/>
    </row>
    <row r="12" spans="1:9" ht="15" thickTop="1" thickBot="1" x14ac:dyDescent="0.3">
      <c r="A12" s="89" t="s">
        <v>84</v>
      </c>
      <c r="B12" s="90" t="s">
        <v>27</v>
      </c>
      <c r="C12" s="91" t="s">
        <v>120</v>
      </c>
      <c r="D12" s="91" t="s">
        <v>121</v>
      </c>
      <c r="E12" s="441" t="s">
        <v>122</v>
      </c>
      <c r="F12" s="442"/>
      <c r="G12" s="90" t="s">
        <v>123</v>
      </c>
      <c r="H12" s="92" t="s">
        <v>124</v>
      </c>
    </row>
    <row r="13" spans="1:9" ht="21.75" customHeight="1" thickTop="1" x14ac:dyDescent="0.25">
      <c r="A13" s="129" t="e">
        <f>+#REF!</f>
        <v>#REF!</v>
      </c>
      <c r="B13" s="130" t="e">
        <f>+#REF!</f>
        <v>#REF!</v>
      </c>
      <c r="C13" s="131" t="e">
        <f>+#REF!</f>
        <v>#REF!</v>
      </c>
      <c r="D13" s="135"/>
      <c r="E13" s="443" t="e">
        <f>+#REF!</f>
        <v>#REF!</v>
      </c>
      <c r="F13" s="444"/>
      <c r="G13" s="93"/>
      <c r="H13" s="94" t="e">
        <f>+G13*B13</f>
        <v>#REF!</v>
      </c>
    </row>
    <row r="14" spans="1:9" ht="21.75" customHeight="1" x14ac:dyDescent="0.25">
      <c r="A14" s="95" t="e">
        <f>+#REF!</f>
        <v>#REF!</v>
      </c>
      <c r="B14" s="106" t="e">
        <f>+#REF!</f>
        <v>#REF!</v>
      </c>
      <c r="C14" s="107" t="e">
        <f>+#REF!</f>
        <v>#REF!</v>
      </c>
      <c r="D14" s="136"/>
      <c r="E14" s="434" t="e">
        <f>+#REF!</f>
        <v>#REF!</v>
      </c>
      <c r="F14" s="434"/>
      <c r="G14" s="96"/>
      <c r="H14" s="97" t="e">
        <f t="shared" ref="H14:H24" si="0">+G14*B14</f>
        <v>#REF!</v>
      </c>
    </row>
    <row r="15" spans="1:9" ht="21.75" customHeight="1" x14ac:dyDescent="0.25">
      <c r="A15" s="95" t="e">
        <f>+#REF!</f>
        <v>#REF!</v>
      </c>
      <c r="B15" s="106" t="e">
        <f>+#REF!</f>
        <v>#REF!</v>
      </c>
      <c r="C15" s="107" t="e">
        <f>+#REF!</f>
        <v>#REF!</v>
      </c>
      <c r="D15" s="136"/>
      <c r="E15" s="434" t="e">
        <f>+#REF!</f>
        <v>#REF!</v>
      </c>
      <c r="F15" s="434"/>
      <c r="G15" s="96"/>
      <c r="H15" s="97" t="e">
        <f t="shared" si="0"/>
        <v>#REF!</v>
      </c>
    </row>
    <row r="16" spans="1:9" ht="21.75" customHeight="1" x14ac:dyDescent="0.25">
      <c r="A16" s="95" t="e">
        <f>+#REF!</f>
        <v>#REF!</v>
      </c>
      <c r="B16" s="106" t="e">
        <f>+#REF!</f>
        <v>#REF!</v>
      </c>
      <c r="C16" s="107" t="e">
        <f>+#REF!</f>
        <v>#REF!</v>
      </c>
      <c r="D16" s="136"/>
      <c r="E16" s="434" t="e">
        <f>+#REF!</f>
        <v>#REF!</v>
      </c>
      <c r="F16" s="434"/>
      <c r="G16" s="96"/>
      <c r="H16" s="97" t="e">
        <f t="shared" si="0"/>
        <v>#REF!</v>
      </c>
    </row>
    <row r="17" spans="1:16" ht="21.75" customHeight="1" x14ac:dyDescent="0.25">
      <c r="A17" s="95" t="e">
        <f>+#REF!</f>
        <v>#REF!</v>
      </c>
      <c r="B17" s="106" t="e">
        <f>+#REF!</f>
        <v>#REF!</v>
      </c>
      <c r="C17" s="107" t="e">
        <f>+#REF!</f>
        <v>#REF!</v>
      </c>
      <c r="D17" s="136"/>
      <c r="E17" s="434" t="e">
        <f>+#REF!</f>
        <v>#REF!</v>
      </c>
      <c r="F17" s="434"/>
      <c r="G17" s="96"/>
      <c r="H17" s="97" t="e">
        <f t="shared" si="0"/>
        <v>#REF!</v>
      </c>
    </row>
    <row r="18" spans="1:16" ht="21.75" customHeight="1" x14ac:dyDescent="0.25">
      <c r="A18" s="95" t="e">
        <f>+#REF!</f>
        <v>#REF!</v>
      </c>
      <c r="B18" s="106" t="e">
        <f>+#REF!</f>
        <v>#REF!</v>
      </c>
      <c r="C18" s="107" t="e">
        <f>+#REF!</f>
        <v>#REF!</v>
      </c>
      <c r="D18" s="136"/>
      <c r="E18" s="434" t="e">
        <f>+#REF!</f>
        <v>#REF!</v>
      </c>
      <c r="F18" s="434"/>
      <c r="G18" s="96"/>
      <c r="H18" s="97" t="e">
        <f t="shared" si="0"/>
        <v>#REF!</v>
      </c>
    </row>
    <row r="19" spans="1:16" ht="21.75" customHeight="1" x14ac:dyDescent="0.25">
      <c r="A19" s="95" t="e">
        <f>+#REF!</f>
        <v>#REF!</v>
      </c>
      <c r="B19" s="106" t="e">
        <f>+#REF!</f>
        <v>#REF!</v>
      </c>
      <c r="C19" s="107" t="e">
        <f>+#REF!</f>
        <v>#REF!</v>
      </c>
      <c r="D19" s="136"/>
      <c r="E19" s="434" t="e">
        <f>+#REF!</f>
        <v>#REF!</v>
      </c>
      <c r="F19" s="434"/>
      <c r="G19" s="96"/>
      <c r="H19" s="97" t="e">
        <f t="shared" si="0"/>
        <v>#REF!</v>
      </c>
    </row>
    <row r="20" spans="1:16" ht="21.75" customHeight="1" x14ac:dyDescent="0.25">
      <c r="A20" s="95" t="e">
        <f>+#REF!</f>
        <v>#REF!</v>
      </c>
      <c r="B20" s="106" t="e">
        <f>+#REF!</f>
        <v>#REF!</v>
      </c>
      <c r="C20" s="107" t="e">
        <f>+#REF!</f>
        <v>#REF!</v>
      </c>
      <c r="D20" s="136"/>
      <c r="E20" s="434" t="e">
        <f>+#REF!</f>
        <v>#REF!</v>
      </c>
      <c r="F20" s="434"/>
      <c r="G20" s="96"/>
      <c r="H20" s="97" t="e">
        <f t="shared" si="0"/>
        <v>#REF!</v>
      </c>
    </row>
    <row r="21" spans="1:16" ht="21.75" customHeight="1" x14ac:dyDescent="0.25">
      <c r="A21" s="95" t="e">
        <f>+#REF!</f>
        <v>#REF!</v>
      </c>
      <c r="B21" s="106" t="e">
        <f>+#REF!</f>
        <v>#REF!</v>
      </c>
      <c r="C21" s="107" t="e">
        <f>+#REF!</f>
        <v>#REF!</v>
      </c>
      <c r="D21" s="136"/>
      <c r="E21" s="434" t="e">
        <f>+#REF!</f>
        <v>#REF!</v>
      </c>
      <c r="F21" s="434"/>
      <c r="G21" s="96"/>
      <c r="H21" s="97" t="e">
        <f t="shared" si="0"/>
        <v>#REF!</v>
      </c>
    </row>
    <row r="22" spans="1:16" ht="21.75" customHeight="1" x14ac:dyDescent="0.25">
      <c r="A22" s="95" t="e">
        <f>+#REF!</f>
        <v>#REF!</v>
      </c>
      <c r="B22" s="106" t="e">
        <f>+#REF!</f>
        <v>#REF!</v>
      </c>
      <c r="C22" s="107" t="e">
        <f>+#REF!</f>
        <v>#REF!</v>
      </c>
      <c r="D22" s="136"/>
      <c r="E22" s="434" t="e">
        <f>+#REF!</f>
        <v>#REF!</v>
      </c>
      <c r="F22" s="434"/>
      <c r="G22" s="96"/>
      <c r="H22" s="97" t="e">
        <f t="shared" si="0"/>
        <v>#REF!</v>
      </c>
    </row>
    <row r="23" spans="1:16" ht="21.75" customHeight="1" x14ac:dyDescent="0.25">
      <c r="A23" s="95" t="e">
        <f>+#REF!</f>
        <v>#REF!</v>
      </c>
      <c r="B23" s="106" t="e">
        <f>+#REF!</f>
        <v>#REF!</v>
      </c>
      <c r="C23" s="107" t="e">
        <f>+#REF!</f>
        <v>#REF!</v>
      </c>
      <c r="D23" s="136"/>
      <c r="E23" s="434" t="e">
        <f>+#REF!</f>
        <v>#REF!</v>
      </c>
      <c r="F23" s="434"/>
      <c r="G23" s="96"/>
      <c r="H23" s="97" t="e">
        <f t="shared" si="0"/>
        <v>#REF!</v>
      </c>
    </row>
    <row r="24" spans="1:16" ht="21.75" customHeight="1" x14ac:dyDescent="0.25">
      <c r="A24" s="95" t="e">
        <f>+#REF!</f>
        <v>#REF!</v>
      </c>
      <c r="B24" s="106">
        <v>0</v>
      </c>
      <c r="C24" s="107" t="e">
        <f>+#REF!</f>
        <v>#REF!</v>
      </c>
      <c r="D24" s="136"/>
      <c r="E24" s="434" t="e">
        <f>+#REF!</f>
        <v>#REF!</v>
      </c>
      <c r="F24" s="434"/>
      <c r="G24" s="96"/>
      <c r="H24" s="97">
        <f t="shared" si="0"/>
        <v>0</v>
      </c>
    </row>
    <row r="25" spans="1:16" ht="16.2" thickBot="1" x14ac:dyDescent="0.3">
      <c r="A25" s="445"/>
      <c r="B25" s="446"/>
      <c r="C25" s="446"/>
      <c r="D25" s="446"/>
      <c r="E25" s="446"/>
      <c r="F25" s="447"/>
      <c r="G25" s="98" t="s">
        <v>125</v>
      </c>
      <c r="H25" s="99" t="e">
        <f>SUM(H13:H24)</f>
        <v>#REF!</v>
      </c>
      <c r="I25" s="100"/>
      <c r="J25" s="100"/>
      <c r="K25" s="101"/>
      <c r="L25" s="100"/>
      <c r="M25" s="100"/>
      <c r="N25" s="100"/>
      <c r="O25" s="100"/>
      <c r="P25" s="100"/>
    </row>
    <row r="26" spans="1:16" ht="33" customHeight="1" thickTop="1" x14ac:dyDescent="0.25">
      <c r="A26" s="102" t="s">
        <v>126</v>
      </c>
      <c r="B26" s="448" t="e">
        <f>NumLetras(H25,"BOLIVIANO","BOLIVIANOS")</f>
        <v>#VALUE!</v>
      </c>
      <c r="C26" s="448"/>
      <c r="D26" s="448"/>
      <c r="E26" s="448"/>
      <c r="F26" s="448"/>
      <c r="G26" s="448"/>
      <c r="H26" s="449"/>
    </row>
    <row r="27" spans="1:16" ht="44.25" customHeight="1" x14ac:dyDescent="0.25">
      <c r="A27" s="413" t="s">
        <v>127</v>
      </c>
      <c r="B27" s="414"/>
      <c r="C27" s="414"/>
      <c r="D27" s="415"/>
      <c r="E27" s="178"/>
      <c r="F27" s="104" t="s">
        <v>163</v>
      </c>
      <c r="G27" s="450"/>
      <c r="H27" s="451"/>
    </row>
    <row r="28" spans="1:16" ht="30" customHeight="1" x14ac:dyDescent="0.25">
      <c r="A28" s="413" t="s">
        <v>128</v>
      </c>
      <c r="B28" s="414"/>
      <c r="C28" s="414"/>
      <c r="D28" s="415"/>
      <c r="E28" s="133"/>
      <c r="F28" s="452" t="s">
        <v>163</v>
      </c>
      <c r="G28" s="407"/>
      <c r="H28" s="408"/>
    </row>
    <row r="29" spans="1:16" ht="33" customHeight="1" x14ac:dyDescent="0.25">
      <c r="A29" s="413" t="s">
        <v>129</v>
      </c>
      <c r="B29" s="414"/>
      <c r="C29" s="414"/>
      <c r="D29" s="415"/>
      <c r="E29" s="134"/>
      <c r="F29" s="453"/>
      <c r="G29" s="409"/>
      <c r="H29" s="410"/>
    </row>
    <row r="30" spans="1:16" ht="42.75" customHeight="1" x14ac:dyDescent="0.25">
      <c r="A30" s="413" t="s">
        <v>164</v>
      </c>
      <c r="B30" s="414"/>
      <c r="C30" s="414"/>
      <c r="D30" s="415"/>
      <c r="E30" s="132"/>
      <c r="F30" s="104" t="s">
        <v>133</v>
      </c>
      <c r="G30" s="411"/>
      <c r="H30" s="412"/>
    </row>
    <row r="31" spans="1:16" ht="36" customHeight="1" x14ac:dyDescent="0.25">
      <c r="A31" s="398" t="s">
        <v>158</v>
      </c>
      <c r="B31" s="399"/>
      <c r="C31" s="399"/>
      <c r="D31" s="400"/>
      <c r="E31" s="401" t="s">
        <v>165</v>
      </c>
      <c r="F31" s="402"/>
      <c r="G31" s="402"/>
      <c r="H31" s="403"/>
    </row>
    <row r="32" spans="1:16" ht="14.4" thickBot="1" x14ac:dyDescent="0.3">
      <c r="A32" s="404" t="s">
        <v>130</v>
      </c>
      <c r="B32" s="405"/>
      <c r="C32" s="405"/>
      <c r="D32" s="405"/>
      <c r="E32" s="406"/>
      <c r="F32" s="406"/>
      <c r="G32" s="406"/>
      <c r="H32" s="103"/>
    </row>
  </sheetData>
  <mergeCells count="39">
    <mergeCell ref="A25:F25"/>
    <mergeCell ref="B26:H26"/>
    <mergeCell ref="G27:H27"/>
    <mergeCell ref="F28:F29"/>
    <mergeCell ref="A27:D27"/>
    <mergeCell ref="A28:D28"/>
    <mergeCell ref="A29:D29"/>
    <mergeCell ref="E24:F24"/>
    <mergeCell ref="E18:F18"/>
    <mergeCell ref="E19:F19"/>
    <mergeCell ref="E20:F20"/>
    <mergeCell ref="E21:F21"/>
    <mergeCell ref="E22:F22"/>
    <mergeCell ref="E23:F23"/>
    <mergeCell ref="E17:F17"/>
    <mergeCell ref="A8:D8"/>
    <mergeCell ref="E8:H8"/>
    <mergeCell ref="A9:D9"/>
    <mergeCell ref="E9:H9"/>
    <mergeCell ref="A10:D10"/>
    <mergeCell ref="E10:H10"/>
    <mergeCell ref="E12:F12"/>
    <mergeCell ref="E13:F13"/>
    <mergeCell ref="E14:F14"/>
    <mergeCell ref="E15:F15"/>
    <mergeCell ref="E16:F16"/>
    <mergeCell ref="A7:D7"/>
    <mergeCell ref="E7:H7"/>
    <mergeCell ref="A1:C1"/>
    <mergeCell ref="G3:H3"/>
    <mergeCell ref="G5:H5"/>
    <mergeCell ref="A6:D6"/>
    <mergeCell ref="E6:H6"/>
    <mergeCell ref="A31:D31"/>
    <mergeCell ref="E31:H31"/>
    <mergeCell ref="A32:G32"/>
    <mergeCell ref="G28:H29"/>
    <mergeCell ref="G30:H30"/>
    <mergeCell ref="A30:D30"/>
  </mergeCells>
  <dataValidations count="1">
    <dataValidation type="list" allowBlank="1" showInputMessage="1" showErrorMessage="1" sqref="E3">
      <formula1>$I$6:$I$7</formula1>
    </dataValidation>
  </dataValidations>
  <printOptions horizontalCentered="1"/>
  <pageMargins left="0.6692913385826772" right="0.70866141732283472" top="0.55118110236220474" bottom="0.51181102362204722" header="0.31496062992125984" footer="0.31496062992125984"/>
  <pageSetup scale="63" orientation="landscape" r:id="rId1"/>
  <headerFooter>
    <oddFooter>&amp;R&amp;P de &amp;N</oddFooter>
  </headerFooter>
  <colBreaks count="1" manualBreakCount="1">
    <brk id="8" max="104857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I37"/>
  <sheetViews>
    <sheetView view="pageLayout" topLeftCell="A10" zoomScale="80" zoomScaleNormal="100" zoomScalePageLayoutView="80" workbookViewId="0">
      <selection activeCell="S42" sqref="S42"/>
    </sheetView>
  </sheetViews>
  <sheetFormatPr baseColWidth="10" defaultColWidth="10.88671875" defaultRowHeight="13.2" x14ac:dyDescent="0.25"/>
  <cols>
    <col min="1" max="1" width="2.88671875" style="2" customWidth="1"/>
    <col min="2" max="2" width="11.88671875" style="2" customWidth="1"/>
    <col min="3" max="3" width="10.88671875" style="2" customWidth="1"/>
    <col min="4" max="4" width="7.109375" style="2" customWidth="1"/>
    <col min="5" max="5" width="10.88671875" style="2" customWidth="1"/>
    <col min="6" max="6" width="13" style="2" customWidth="1"/>
    <col min="7" max="7" width="12.88671875" style="2" customWidth="1"/>
    <col min="8" max="8" width="5.109375" style="2" customWidth="1"/>
    <col min="9" max="9" width="14.33203125" style="2" customWidth="1"/>
    <col min="10" max="16384" width="10.88671875" style="2"/>
  </cols>
  <sheetData>
    <row r="1" spans="1:9" ht="12.6" customHeight="1" x14ac:dyDescent="0.25">
      <c r="A1" s="6"/>
      <c r="B1" s="6"/>
      <c r="C1" s="6"/>
      <c r="D1" s="127"/>
      <c r="E1" s="127"/>
      <c r="F1" s="127"/>
      <c r="G1" s="127"/>
      <c r="H1" s="109"/>
      <c r="I1" s="55"/>
    </row>
    <row r="2" spans="1:9" ht="12.6" customHeight="1" x14ac:dyDescent="0.25">
      <c r="A2" s="6"/>
      <c r="B2" s="6"/>
      <c r="C2" s="6"/>
      <c r="D2" s="127"/>
      <c r="E2" s="127"/>
      <c r="F2" s="127"/>
      <c r="G2" s="127"/>
      <c r="H2" s="109"/>
      <c r="I2" s="110"/>
    </row>
    <row r="3" spans="1:9" ht="12.6" customHeight="1" x14ac:dyDescent="0.25">
      <c r="A3" s="6"/>
      <c r="B3" s="6"/>
      <c r="C3" s="6"/>
      <c r="D3" s="127"/>
      <c r="E3" s="127"/>
      <c r="F3" s="127"/>
      <c r="G3" s="127"/>
      <c r="H3" s="109"/>
      <c r="I3" s="111"/>
    </row>
    <row r="4" spans="1:9" s="19" customFormat="1" ht="9.6" customHeight="1" x14ac:dyDescent="0.25"/>
    <row r="5" spans="1:9" s="19" customFormat="1" ht="9" customHeight="1" x14ac:dyDescent="0.25"/>
    <row r="6" spans="1:9" s="19" customFormat="1" ht="18.75" customHeight="1" x14ac:dyDescent="0.25">
      <c r="G6" s="65"/>
      <c r="H6" s="122"/>
      <c r="I6" s="122"/>
    </row>
    <row r="7" spans="1:9" s="19" customFormat="1" ht="15" customHeight="1" x14ac:dyDescent="0.25"/>
    <row r="8" spans="1:9" s="19" customFormat="1" ht="24.9" customHeight="1" x14ac:dyDescent="0.25">
      <c r="A8" s="454" t="s">
        <v>134</v>
      </c>
      <c r="B8" s="454"/>
      <c r="C8" s="454"/>
      <c r="D8" s="454"/>
      <c r="E8" s="454"/>
      <c r="F8" s="454"/>
      <c r="G8" s="454"/>
      <c r="H8" s="454"/>
      <c r="I8" s="454"/>
    </row>
    <row r="9" spans="1:9" s="19" customFormat="1" ht="29.25" customHeight="1" x14ac:dyDescent="0.25">
      <c r="A9" s="196"/>
      <c r="B9" s="196"/>
      <c r="C9" s="196"/>
      <c r="D9" s="196"/>
      <c r="E9" s="196"/>
      <c r="F9" s="196"/>
      <c r="G9" s="196"/>
      <c r="H9" s="196"/>
      <c r="I9" s="196"/>
    </row>
    <row r="10" spans="1:9" s="19" customFormat="1" ht="16.5" customHeight="1" x14ac:dyDescent="0.25">
      <c r="A10" s="179"/>
      <c r="B10" s="179"/>
      <c r="C10" s="179"/>
      <c r="D10" s="179"/>
      <c r="E10" s="179"/>
      <c r="F10" s="179"/>
      <c r="G10" s="179"/>
      <c r="H10" s="179"/>
      <c r="I10" s="179"/>
    </row>
    <row r="11" spans="1:9" s="19" customFormat="1" ht="16.5" customHeight="1" x14ac:dyDescent="0.25">
      <c r="A11" s="61"/>
      <c r="B11" s="117" t="s">
        <v>135</v>
      </c>
      <c r="C11" s="115" t="s">
        <v>138</v>
      </c>
      <c r="D11" s="108"/>
      <c r="E11" s="108"/>
      <c r="F11" s="108"/>
      <c r="G11" s="108"/>
      <c r="H11" s="108"/>
      <c r="I11" s="61"/>
    </row>
    <row r="12" spans="1:9" s="19" customFormat="1" ht="16.5" customHeight="1" x14ac:dyDescent="0.25">
      <c r="A12" s="112"/>
      <c r="B12" s="118" t="s">
        <v>136</v>
      </c>
      <c r="C12" s="27" t="s">
        <v>139</v>
      </c>
      <c r="D12" s="113"/>
      <c r="E12" s="113"/>
      <c r="F12" s="113"/>
      <c r="G12" s="113"/>
      <c r="H12" s="113"/>
      <c r="I12" s="113"/>
    </row>
    <row r="13" spans="1:9" s="19" customFormat="1" ht="16.5" customHeight="1" x14ac:dyDescent="0.25">
      <c r="A13" s="62"/>
      <c r="B13" s="114" t="s">
        <v>137</v>
      </c>
      <c r="C13" s="119" t="s">
        <v>140</v>
      </c>
      <c r="D13" s="116"/>
      <c r="E13" s="116"/>
      <c r="F13" s="116"/>
      <c r="G13" s="116"/>
      <c r="H13" s="116"/>
      <c r="I13" s="116"/>
    </row>
    <row r="14" spans="1:9" s="19" customFormat="1" ht="10.5" customHeight="1" x14ac:dyDescent="0.25">
      <c r="A14" s="64"/>
      <c r="B14" s="200"/>
      <c r="C14" s="200"/>
      <c r="D14" s="200"/>
      <c r="E14" s="200"/>
      <c r="F14" s="200"/>
      <c r="G14" s="200"/>
      <c r="H14" s="200"/>
      <c r="I14" s="200"/>
    </row>
    <row r="15" spans="1:9" s="19" customFormat="1" ht="23.25" customHeight="1" x14ac:dyDescent="0.25">
      <c r="A15" s="64"/>
      <c r="B15" s="118" t="s">
        <v>141</v>
      </c>
      <c r="C15" s="465" t="s">
        <v>142</v>
      </c>
      <c r="D15" s="465"/>
      <c r="E15" s="465"/>
      <c r="F15" s="465"/>
      <c r="G15" s="465"/>
      <c r="H15" s="465"/>
      <c r="I15" s="465"/>
    </row>
    <row r="16" spans="1:9" s="19" customFormat="1" ht="10.5" customHeight="1" x14ac:dyDescent="0.25">
      <c r="A16" s="64"/>
      <c r="B16" s="464"/>
      <c r="C16" s="464"/>
      <c r="D16" s="464"/>
      <c r="E16" s="464"/>
      <c r="F16" s="64"/>
      <c r="G16" s="64"/>
      <c r="H16" s="64"/>
      <c r="I16" s="64"/>
    </row>
    <row r="17" spans="1:9" s="19" customFormat="1" ht="15" customHeight="1" x14ac:dyDescent="0.25">
      <c r="A17" s="121" t="s">
        <v>144</v>
      </c>
      <c r="B17" s="462" t="s">
        <v>143</v>
      </c>
      <c r="C17" s="462"/>
      <c r="D17" s="113"/>
      <c r="E17" s="113"/>
      <c r="F17" s="113"/>
      <c r="G17" s="113"/>
      <c r="H17" s="113"/>
      <c r="I17" s="113"/>
    </row>
    <row r="18" spans="1:9" s="19" customFormat="1" ht="5.25" customHeight="1" x14ac:dyDescent="0.25">
      <c r="A18" s="22"/>
      <c r="B18" s="61"/>
      <c r="C18" s="61"/>
      <c r="D18" s="61"/>
      <c r="E18" s="61"/>
      <c r="F18" s="61"/>
      <c r="G18" s="61"/>
      <c r="H18" s="61"/>
      <c r="I18" s="61"/>
    </row>
    <row r="19" spans="1:9" s="19" customFormat="1" ht="30" customHeight="1" x14ac:dyDescent="0.25">
      <c r="A19" s="455" t="s">
        <v>145</v>
      </c>
      <c r="B19" s="455"/>
      <c r="C19" s="455"/>
      <c r="D19" s="455"/>
      <c r="E19" s="455"/>
      <c r="F19" s="455"/>
      <c r="G19" s="455"/>
      <c r="H19" s="455"/>
      <c r="I19" s="455"/>
    </row>
    <row r="20" spans="1:9" s="19" customFormat="1" ht="9.6" customHeight="1" x14ac:dyDescent="0.25">
      <c r="A20" s="61"/>
      <c r="B20" s="61"/>
      <c r="C20" s="61"/>
      <c r="D20" s="61"/>
      <c r="E20" s="61"/>
      <c r="F20" s="61"/>
      <c r="G20" s="61"/>
      <c r="H20" s="61"/>
      <c r="I20" s="61"/>
    </row>
    <row r="21" spans="1:9" s="19" customFormat="1" ht="12.75" customHeight="1" x14ac:dyDescent="0.25">
      <c r="A21" s="112" t="s">
        <v>8</v>
      </c>
      <c r="B21" s="120" t="s">
        <v>146</v>
      </c>
      <c r="C21" s="112"/>
      <c r="D21" s="112"/>
      <c r="E21" s="112"/>
      <c r="F21" s="112"/>
      <c r="G21" s="112"/>
      <c r="H21" s="112"/>
      <c r="I21" s="112"/>
    </row>
    <row r="22" spans="1:9" s="19" customFormat="1" ht="6" customHeight="1" x14ac:dyDescent="0.25">
      <c r="A22" s="196"/>
      <c r="B22" s="196"/>
      <c r="C22" s="196"/>
      <c r="D22" s="196"/>
      <c r="E22" s="196"/>
      <c r="F22" s="196"/>
      <c r="G22" s="196"/>
      <c r="H22" s="196"/>
      <c r="I22" s="196"/>
    </row>
    <row r="23" spans="1:9" s="19" customFormat="1" ht="51.75" customHeight="1" x14ac:dyDescent="0.25">
      <c r="A23" s="456" t="s">
        <v>147</v>
      </c>
      <c r="B23" s="456"/>
      <c r="C23" s="456"/>
      <c r="D23" s="456"/>
      <c r="E23" s="456"/>
      <c r="F23" s="456"/>
      <c r="G23" s="456"/>
      <c r="H23" s="456"/>
      <c r="I23" s="456"/>
    </row>
    <row r="24" spans="1:9" s="19" customFormat="1" ht="9" customHeight="1" x14ac:dyDescent="0.25">
      <c r="A24" s="61"/>
      <c r="B24" s="61"/>
      <c r="C24" s="61"/>
      <c r="D24" s="61"/>
      <c r="E24" s="61"/>
      <c r="F24" s="61"/>
      <c r="G24" s="61"/>
      <c r="H24" s="61"/>
      <c r="I24" s="61"/>
    </row>
    <row r="25" spans="1:9" s="19" customFormat="1" ht="25.5" customHeight="1" x14ac:dyDescent="0.25">
      <c r="A25" s="457" t="s">
        <v>148</v>
      </c>
      <c r="B25" s="457"/>
      <c r="C25" s="457"/>
      <c r="D25" s="457"/>
      <c r="E25" s="457"/>
      <c r="F25" s="457"/>
      <c r="G25" s="457"/>
      <c r="H25" s="457"/>
      <c r="I25" s="457"/>
    </row>
    <row r="26" spans="1:9" s="19" customFormat="1" ht="9.9" customHeight="1" x14ac:dyDescent="0.25">
      <c r="A26" s="63"/>
      <c r="B26" s="63"/>
      <c r="C26" s="63"/>
      <c r="D26" s="63"/>
      <c r="E26" s="63"/>
      <c r="F26" s="63"/>
      <c r="G26" s="63"/>
      <c r="H26" s="63"/>
      <c r="I26" s="63"/>
    </row>
    <row r="27" spans="1:9" s="19" customFormat="1" ht="37.5" customHeight="1" x14ac:dyDescent="0.25">
      <c r="A27" s="466" t="s">
        <v>150</v>
      </c>
      <c r="B27" s="466"/>
      <c r="C27" s="466"/>
      <c r="D27" s="466"/>
      <c r="E27" s="125" t="s">
        <v>151</v>
      </c>
      <c r="F27" s="125" t="s">
        <v>152</v>
      </c>
      <c r="G27" s="466" t="s">
        <v>153</v>
      </c>
      <c r="H27" s="466"/>
      <c r="I27" s="125" t="s">
        <v>154</v>
      </c>
    </row>
    <row r="28" spans="1:9" s="19" customFormat="1" ht="11.25" customHeight="1" x14ac:dyDescent="0.25">
      <c r="A28" s="458" t="s">
        <v>149</v>
      </c>
      <c r="B28" s="458"/>
      <c r="C28" s="458"/>
      <c r="D28" s="458"/>
      <c r="E28" s="123"/>
      <c r="F28" s="123"/>
      <c r="G28" s="461"/>
      <c r="H28" s="461"/>
      <c r="I28" s="123"/>
    </row>
    <row r="29" spans="1:9" s="19" customFormat="1" ht="11.25" customHeight="1" x14ac:dyDescent="0.25">
      <c r="A29" s="459"/>
      <c r="B29" s="459"/>
      <c r="C29" s="459"/>
      <c r="D29" s="459"/>
      <c r="E29" s="124"/>
      <c r="F29" s="124"/>
      <c r="G29" s="461"/>
      <c r="H29" s="461"/>
      <c r="I29" s="124"/>
    </row>
    <row r="30" spans="1:9" s="19" customFormat="1" ht="11.25" customHeight="1" x14ac:dyDescent="0.25">
      <c r="A30" s="460"/>
      <c r="B30" s="460"/>
      <c r="C30" s="460"/>
      <c r="D30" s="460"/>
      <c r="E30" s="123"/>
      <c r="F30" s="123"/>
      <c r="G30" s="461"/>
      <c r="H30" s="461"/>
      <c r="I30" s="123"/>
    </row>
    <row r="31" spans="1:9" s="19" customFormat="1" ht="7.5" customHeight="1" x14ac:dyDescent="0.25">
      <c r="A31" s="179"/>
      <c r="B31" s="179"/>
      <c r="C31" s="179"/>
      <c r="D31" s="179"/>
      <c r="E31" s="179"/>
      <c r="F31" s="179"/>
      <c r="G31" s="179"/>
      <c r="H31" s="179"/>
      <c r="I31" s="179"/>
    </row>
    <row r="32" spans="1:9" s="19" customFormat="1" ht="12" customHeight="1" x14ac:dyDescent="0.25">
      <c r="A32" s="112" t="s">
        <v>156</v>
      </c>
      <c r="B32" s="462" t="s">
        <v>155</v>
      </c>
      <c r="C32" s="462"/>
      <c r="D32" s="112"/>
      <c r="E32" s="112"/>
      <c r="F32" s="112"/>
      <c r="G32" s="112"/>
      <c r="H32" s="112"/>
      <c r="I32" s="112"/>
    </row>
    <row r="33" spans="1:9" s="24" customFormat="1" ht="6.75" customHeight="1" x14ac:dyDescent="0.25">
      <c r="A33" s="126"/>
      <c r="B33" s="126"/>
      <c r="C33" s="126"/>
      <c r="D33" s="126"/>
      <c r="E33" s="126"/>
      <c r="F33" s="126"/>
      <c r="G33" s="126"/>
      <c r="H33" s="126"/>
      <c r="I33" s="126"/>
    </row>
    <row r="34" spans="1:9" ht="67.5" customHeight="1" x14ac:dyDescent="0.25">
      <c r="A34" s="463" t="s">
        <v>157</v>
      </c>
      <c r="B34" s="463"/>
      <c r="C34" s="463"/>
      <c r="D34" s="463"/>
      <c r="E34" s="463"/>
      <c r="F34" s="463"/>
      <c r="G34" s="463"/>
      <c r="H34" s="463"/>
      <c r="I34" s="463"/>
    </row>
    <row r="35" spans="1:9" ht="11.1" customHeight="1" x14ac:dyDescent="0.25"/>
    <row r="36" spans="1:9" ht="11.1" customHeight="1" x14ac:dyDescent="0.25"/>
    <row r="37" spans="1:9" ht="11.1" customHeight="1" x14ac:dyDescent="0.25"/>
  </sheetData>
  <mergeCells count="22">
    <mergeCell ref="B32:C32"/>
    <mergeCell ref="A34:I34"/>
    <mergeCell ref="A9:I9"/>
    <mergeCell ref="B16:E16"/>
    <mergeCell ref="C15:I15"/>
    <mergeCell ref="B17:C17"/>
    <mergeCell ref="A27:D27"/>
    <mergeCell ref="G27:H27"/>
    <mergeCell ref="A8:I8"/>
    <mergeCell ref="A10:I10"/>
    <mergeCell ref="B14:I14"/>
    <mergeCell ref="A19:I19"/>
    <mergeCell ref="A31:I31"/>
    <mergeCell ref="A22:I22"/>
    <mergeCell ref="A23:I23"/>
    <mergeCell ref="A25:I25"/>
    <mergeCell ref="A28:D28"/>
    <mergeCell ref="A29:D29"/>
    <mergeCell ref="A30:D30"/>
    <mergeCell ref="G28:H28"/>
    <mergeCell ref="G29:H29"/>
    <mergeCell ref="G30:H30"/>
  </mergeCells>
  <pageMargins left="0.76041666666666663" right="0.70866141732283472" top="0.74803149606299213" bottom="0.74803149606299213" header="0.31496062992125984" footer="0.31496062992125984"/>
  <pageSetup orientation="portrait" r:id="rId1"/>
  <headerFooter>
    <oddFooter>&amp;CAv. Ecológica N° 88, Pasaje Villa Gardenias N° 40
Tiquipaya, Cochabamba - Bolivia</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5</vt:i4>
      </vt:variant>
    </vt:vector>
  </HeadingPairs>
  <TitlesOfParts>
    <vt:vector size="10" baseType="lpstr">
      <vt:lpstr>Invitación</vt:lpstr>
      <vt:lpstr>Anexo I</vt:lpstr>
      <vt:lpstr>C.C.</vt:lpstr>
      <vt:lpstr>O.C.</vt:lpstr>
      <vt:lpstr>PAGO</vt:lpstr>
      <vt:lpstr>C.C.!Área_de_impresión</vt:lpstr>
      <vt:lpstr>Invitación!Área_de_impresión</vt:lpstr>
      <vt:lpstr>O.C.!Área_de_impresión</vt:lpstr>
      <vt:lpstr>C.C.!Títulos_a_imprimir</vt:lpstr>
      <vt:lpstr>O.C.!Títulos_a_imprimir</vt:lpstr>
    </vt:vector>
  </TitlesOfParts>
  <Company>IBERDROLA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ELECTROPAZ</dc:creator>
  <cp:lastModifiedBy>Julio Alberto Navia Morato</cp:lastModifiedBy>
  <cp:lastPrinted>2020-04-20T04:11:19Z</cp:lastPrinted>
  <dcterms:created xsi:type="dcterms:W3CDTF">2008-06-19T14:54:42Z</dcterms:created>
  <dcterms:modified xsi:type="dcterms:W3CDTF">2020-08-27T17:11:43Z</dcterms:modified>
</cp:coreProperties>
</file>